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AF7130F0-866B-4B20-82B5-60171ECDA8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PA" sheetId="1" r:id="rId1"/>
    <sheet name="TRANSACAO" sheetId="2" state="hidden" r:id="rId2"/>
    <sheet name="DADOSDR" sheetId="3" state="hidden" r:id="rId3"/>
    <sheet name="Planilha1" sheetId="5" state="hidden" r:id="rId4"/>
    <sheet name="Simulador" sheetId="4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19" i="4"/>
  <c r="A19" i="4"/>
  <c r="E19" i="4" s="1"/>
  <c r="A18" i="4"/>
  <c r="L13" i="4"/>
  <c r="E13" i="4"/>
  <c r="G10" i="4"/>
  <c r="F10" i="4"/>
  <c r="E10" i="4"/>
  <c r="G9" i="4"/>
  <c r="D7" i="4"/>
  <c r="D6" i="4"/>
  <c r="I5" i="4"/>
  <c r="A13" i="4" s="1"/>
  <c r="A12" i="4" s="1"/>
  <c r="D5" i="4"/>
  <c r="D4" i="4"/>
  <c r="C25" i="3"/>
  <c r="C22" i="3"/>
  <c r="C19" i="3"/>
  <c r="C17" i="3"/>
  <c r="I12" i="3"/>
  <c r="H12" i="3"/>
  <c r="C20" i="3" s="1"/>
  <c r="G12" i="3"/>
  <c r="C18" i="3" s="1"/>
  <c r="E12" i="3"/>
  <c r="C23" i="3" s="1"/>
  <c r="D12" i="3"/>
  <c r="F12" i="3" s="1"/>
  <c r="B12" i="3"/>
  <c r="M8" i="3"/>
  <c r="J8" i="3"/>
  <c r="K8" i="3" s="1"/>
  <c r="C21" i="3" s="1"/>
  <c r="I8" i="3"/>
  <c r="H8" i="3"/>
  <c r="C24" i="3" s="1"/>
  <c r="G8" i="3"/>
  <c r="C8" i="3"/>
  <c r="B8" i="3"/>
  <c r="P4" i="3"/>
  <c r="O4" i="3"/>
  <c r="L8" i="3" s="1"/>
  <c r="N4" i="3"/>
  <c r="M4" i="3"/>
  <c r="L4" i="3"/>
  <c r="K4" i="3"/>
  <c r="J4" i="3"/>
  <c r="I4" i="3"/>
  <c r="H4" i="3"/>
  <c r="G4" i="3"/>
  <c r="D8" i="3" s="1"/>
  <c r="F4" i="3"/>
  <c r="E8" i="3" s="1"/>
  <c r="E4" i="3"/>
  <c r="F8" i="3" s="1"/>
  <c r="D4" i="3"/>
  <c r="C4" i="3"/>
  <c r="B4" i="3"/>
  <c r="E8" i="2"/>
  <c r="C12" i="3" s="1"/>
  <c r="J13" i="4" l="1"/>
  <c r="H13" i="4"/>
  <c r="F13" i="4"/>
  <c r="G13" i="4" s="1"/>
  <c r="I13" i="4" s="1"/>
  <c r="B13" i="4"/>
  <c r="I19" i="4"/>
  <c r="G19" i="4"/>
  <c r="H19" i="4" s="1"/>
  <c r="J12" i="4" l="1"/>
  <c r="J5" i="4"/>
</calcChain>
</file>

<file path=xl/sharedStrings.xml><?xml version="1.0" encoding="utf-8"?>
<sst xmlns="http://schemas.openxmlformats.org/spreadsheetml/2006/main" count="285" uniqueCount="257">
  <si>
    <t>PLANILHA PARA SOLICITAÇÃO DE CANCELAMENTO DE CARTÕES</t>
  </si>
  <si>
    <t>Resumo da solicitação de cancelamento cartão:</t>
  </si>
  <si>
    <t>Data envio solicitação</t>
  </si>
  <si>
    <t>Caixa</t>
  </si>
  <si>
    <t>Nro da Venda</t>
  </si>
  <si>
    <t>Nome Estabelecimento</t>
  </si>
  <si>
    <t>Cód. ESTABELECIMENTO</t>
  </si>
  <si>
    <t>Nome do Cliente</t>
  </si>
  <si>
    <t>CPF do Cliente</t>
  </si>
  <si>
    <t>Modalidade Cancelamento</t>
  </si>
  <si>
    <t>Número cartão a cancelar</t>
  </si>
  <si>
    <t>Valor transação do cartão</t>
  </si>
  <si>
    <t>Valor a cancelar no cartão</t>
  </si>
  <si>
    <t>SEQ</t>
  </si>
  <si>
    <t>DATA</t>
  </si>
  <si>
    <t>CX</t>
  </si>
  <si>
    <t>VALOR</t>
  </si>
  <si>
    <t>ABATIMENTO</t>
  </si>
  <si>
    <t>JUROS</t>
  </si>
  <si>
    <t>MULTA</t>
  </si>
  <si>
    <t>TOTAL GERAL</t>
  </si>
  <si>
    <t>TIPO LIQ</t>
  </si>
  <si>
    <t>OP CONTABIL</t>
  </si>
  <si>
    <t>N PARCELAS</t>
  </si>
  <si>
    <t>TEF-NSU</t>
  </si>
  <si>
    <t>WEB-NSU</t>
  </si>
  <si>
    <t>TID</t>
  </si>
  <si>
    <t/>
  </si>
  <si>
    <t>Data</t>
  </si>
  <si>
    <t>Loja</t>
  </si>
  <si>
    <t>Codigo Loja</t>
  </si>
  <si>
    <t>Cartao</t>
  </si>
  <si>
    <t>PDV</t>
  </si>
  <si>
    <t>NSU</t>
  </si>
  <si>
    <t>NSU Host</t>
  </si>
  <si>
    <t>Valor</t>
  </si>
  <si>
    <t>Rede</t>
  </si>
  <si>
    <t>Tipo Produto</t>
  </si>
  <si>
    <t>Conciliacao</t>
  </si>
  <si>
    <t>Codigo Autorizacao</t>
  </si>
  <si>
    <t>Estabelecimento</t>
  </si>
  <si>
    <t>Modo Entrada</t>
  </si>
  <si>
    <t>Cupom Fiscal</t>
  </si>
  <si>
    <t>Data Fiscal</t>
  </si>
  <si>
    <t>Produto</t>
  </si>
  <si>
    <t>Descritivo Transacao</t>
  </si>
  <si>
    <t>Nº. Parcelas</t>
  </si>
  <si>
    <t>Codigo Operador</t>
  </si>
  <si>
    <t>Resp. Rede</t>
  </si>
  <si>
    <t>Data da pendencia</t>
  </si>
  <si>
    <t>Tipo do Cartao</t>
  </si>
  <si>
    <t>Terminal Logico</t>
  </si>
  <si>
    <t>Descricao da Loja</t>
  </si>
  <si>
    <t>CIELO</t>
  </si>
  <si>
    <t>DATA SOLIC</t>
  </si>
  <si>
    <t>N° DA VENDA</t>
  </si>
  <si>
    <t>NOME DA UO</t>
  </si>
  <si>
    <t>NOME DO CLIENTE</t>
  </si>
  <si>
    <t>CPF CLIENTE</t>
  </si>
  <si>
    <t>DATA DA VENDA TRANSAÇÃO</t>
  </si>
  <si>
    <t>VALOR TOTAL DA VENDA</t>
  </si>
  <si>
    <t>VALOR DA TRANSAÇÃO FEITA NO CARTÃO</t>
  </si>
  <si>
    <t>QTE PARC</t>
  </si>
  <si>
    <t>BANDEIRA</t>
  </si>
  <si>
    <t>CÓD AUT</t>
  </si>
  <si>
    <t xml:space="preserve">VALOR CANCELADO </t>
  </si>
  <si>
    <t>CANCELAMENTO STD</t>
  </si>
  <si>
    <t>EFETIVADO</t>
  </si>
  <si>
    <t>BANRI</t>
  </si>
  <si>
    <t>CPF DO CLIENTE</t>
  </si>
  <si>
    <t>VALOR DA TRANSAÇÃO E DO CANCELAMENTO</t>
  </si>
  <si>
    <t>NSU BERGS</t>
  </si>
  <si>
    <t>DATA DE ENVIO DE CANCELAMENTO</t>
  </si>
  <si>
    <t>DATA DA EFETIVAÇÃO DO CANCELAMENTO</t>
  </si>
  <si>
    <t>LANÇ SESC NET</t>
  </si>
  <si>
    <t>STATUS</t>
  </si>
  <si>
    <t>OBS</t>
  </si>
  <si>
    <t>ESTABELECIMENTO</t>
  </si>
  <si>
    <t>LOTE</t>
  </si>
  <si>
    <t>DT DEPÓSITO</t>
  </si>
  <si>
    <t>CARTÃO / XID</t>
  </si>
  <si>
    <t>DT VENDA</t>
  </si>
  <si>
    <t>VL VENDA</t>
  </si>
  <si>
    <t>VL CANCELAR</t>
  </si>
  <si>
    <t>AUT.</t>
  </si>
  <si>
    <t>MOTIVO</t>
  </si>
  <si>
    <t>A pedido do cliente</t>
  </si>
  <si>
    <t>INFORMAÇÕES PARA CANCELAMENTO VERO - PREENCHIMENTO AUTOMÁTICO</t>
  </si>
  <si>
    <t>CNPJ</t>
  </si>
  <si>
    <t>DATA DA VENDA</t>
  </si>
  <si>
    <t>VALOR DA VENDA</t>
  </si>
  <si>
    <t>VALOR CANCELAMENTO</t>
  </si>
  <si>
    <t>CÓDIGO LÓGICO</t>
  </si>
  <si>
    <t>Nº CARTÃO</t>
  </si>
  <si>
    <t>Nº PARCELAS</t>
  </si>
  <si>
    <t>TÍTULO</t>
  </si>
  <si>
    <t>ESTABELECIMENTO DO SESC/RS</t>
  </si>
  <si>
    <t>SESC 4º DISTRITO</t>
  </si>
  <si>
    <t>03.575.238/0003-03</t>
  </si>
  <si>
    <t>SESC ALBERTO BINS - RESTAURANTE</t>
  </si>
  <si>
    <t>03.575.238/0069-21</t>
  </si>
  <si>
    <t>SESC AZENHA</t>
  </si>
  <si>
    <t>03.575.238/0005-67</t>
  </si>
  <si>
    <t>SESC ANCHIETA</t>
  </si>
  <si>
    <t>03.575.238/0085-41</t>
  </si>
  <si>
    <t>SESC ALEGRETE</t>
  </si>
  <si>
    <t>03.575.238/0025-00</t>
  </si>
  <si>
    <t>SESC BAGE</t>
  </si>
  <si>
    <t>03.575.238/0023-49</t>
  </si>
  <si>
    <t>SESC BENTO GONÇALVES</t>
  </si>
  <si>
    <t>03.575.238/0046-35</t>
  </si>
  <si>
    <t>SESC CACHOEIRA DO SUL</t>
  </si>
  <si>
    <t>03.575.238/0013-77</t>
  </si>
  <si>
    <t>SESC CACHOEIRINHA</t>
  </si>
  <si>
    <t>03.575.238/0041-20</t>
  </si>
  <si>
    <t>SESC CAMAQUÃ</t>
  </si>
  <si>
    <t>03.575.238/0029-34</t>
  </si>
  <si>
    <t>SESC CANOAS</t>
  </si>
  <si>
    <t>03.575.238/0040-40</t>
  </si>
  <si>
    <t>SESC CARAZINHO</t>
  </si>
  <si>
    <t>03.575.238/0021-87</t>
  </si>
  <si>
    <t>SESC CAXIAS DO SUL - RESTAURANTE</t>
  </si>
  <si>
    <t>03.575.238/0024-20</t>
  </si>
  <si>
    <t>SESC CENTRO HISTÓRICO - RESTAURANTE</t>
  </si>
  <si>
    <t>03.575.238/0042-01</t>
  </si>
  <si>
    <t>SESC CHUÍ</t>
  </si>
  <si>
    <t>03.575.238/0039-06</t>
  </si>
  <si>
    <t>SESC COMUNIDADE</t>
  </si>
  <si>
    <t>03.575.238/0004-86</t>
  </si>
  <si>
    <t>SESC CRUZ ALTA</t>
  </si>
  <si>
    <t>03.575.238/0016-10</t>
  </si>
  <si>
    <t>SESC ERECHIM</t>
  </si>
  <si>
    <t>03.575.238/0027-72</t>
  </si>
  <si>
    <t>SESC FARROUPILHA</t>
  </si>
  <si>
    <t>03.575.238/0033-10</t>
  </si>
  <si>
    <t>SESC FREDERICO WESTPHALEN</t>
  </si>
  <si>
    <t>03.575.238/0043-92</t>
  </si>
  <si>
    <t>SESC GRAMADO - HOTEL</t>
  </si>
  <si>
    <t>03.575.238/0035-82</t>
  </si>
  <si>
    <t>SESC GRAVATAÍ – RESTAURANTE</t>
  </si>
  <si>
    <t>03.575.238/0036-63</t>
  </si>
  <si>
    <t>SESC IJUI</t>
  </si>
  <si>
    <t>03.575.238/0008-00</t>
  </si>
  <si>
    <t>SESC ITAQUI</t>
  </si>
  <si>
    <t>03.575.238/0054-45</t>
  </si>
  <si>
    <t>SESC JAGUARAO</t>
  </si>
  <si>
    <t>03.575.238/0086-22</t>
  </si>
  <si>
    <t>SESQUINHO LAJEADO</t>
  </si>
  <si>
    <t>03.575.238/0084-60</t>
  </si>
  <si>
    <t>SESC LAJEADO</t>
  </si>
  <si>
    <t>03.575.238/0018-81</t>
  </si>
  <si>
    <t>SESC MONTENEGRO</t>
  </si>
  <si>
    <t>03.575.238/0031-59</t>
  </si>
  <si>
    <t>SESC NOVA PRATA</t>
  </si>
  <si>
    <t>03.575.238/0088-94</t>
  </si>
  <si>
    <t>BANRIS</t>
  </si>
  <si>
    <t>SESC NOVO HAMBURGO</t>
  </si>
  <si>
    <t>03.575.238/0017-09</t>
  </si>
  <si>
    <t>SESC OSÓRIO</t>
  </si>
  <si>
    <t>03.575.238/0050-11</t>
  </si>
  <si>
    <t>SESC PALMEIRA DAS MISSÕES</t>
  </si>
  <si>
    <t>03.575.238/0049-88</t>
  </si>
  <si>
    <t>SESC PASSO FUNDO</t>
  </si>
  <si>
    <t>03.575.238/0020-04</t>
  </si>
  <si>
    <t>SESC PELOTAS</t>
  </si>
  <si>
    <t>03.575.238/0014-58</t>
  </si>
  <si>
    <t>SESC PROTÁSIO ALVES - HOTEL</t>
  </si>
  <si>
    <t>03.575.238/0002-14</t>
  </si>
  <si>
    <t>SESC QUARAÍ</t>
  </si>
  <si>
    <t>03.575.238/0081-18</t>
  </si>
  <si>
    <t>SESC RIO GRANDE</t>
  </si>
  <si>
    <t>03.575.238/0019-62</t>
  </si>
  <si>
    <t>SESC SANTA CRUZ DO SUL</t>
  </si>
  <si>
    <t>03.575.238/0010-24</t>
  </si>
  <si>
    <t>SESC SANTA MARIA</t>
  </si>
  <si>
    <t>03.575.238/0009-90</t>
  </si>
  <si>
    <t>SESC SANTA ROSA</t>
  </si>
  <si>
    <t>03.575.238/0026-91</t>
  </si>
  <si>
    <t>SESC SANTANA DO LIVRAMENTO</t>
  </si>
  <si>
    <t>03.575.238/0022-68</t>
  </si>
  <si>
    <t>SESC SANTIAGO</t>
  </si>
  <si>
    <t>03.575.238/0051-00</t>
  </si>
  <si>
    <t>SESC SANTO ANGELO</t>
  </si>
  <si>
    <t>03.575.238/0011-05</t>
  </si>
  <si>
    <t>SESC SÃO BORJA</t>
  </si>
  <si>
    <t>03.575.238/0028-53</t>
  </si>
  <si>
    <t>SESC SÃO LEOPOLDO</t>
  </si>
  <si>
    <t>03.575.238/0012-96</t>
  </si>
  <si>
    <t>SESC SÃO LUIZ GONZAGA</t>
  </si>
  <si>
    <t>03.575.238/0045-54</t>
  </si>
  <si>
    <t>SESC SÃO SEBASTIÃO DO CAÍ</t>
  </si>
  <si>
    <t>03.575.238/0067-60</t>
  </si>
  <si>
    <t>SESC SÃO SEPÉ</t>
  </si>
  <si>
    <t>03.575.238/0064-17</t>
  </si>
  <si>
    <t>SESC SÃO JUDAS</t>
  </si>
  <si>
    <t>03.575.238/0089-75</t>
  </si>
  <si>
    <t>SESC SEDE</t>
  </si>
  <si>
    <t>03.575.238/0001-33</t>
  </si>
  <si>
    <t>SESC TRES DE MAIO EJA</t>
  </si>
  <si>
    <t>03.575.238/0090-09</t>
  </si>
  <si>
    <t>SESC TRES PASSOS</t>
  </si>
  <si>
    <t>03.575.238/0083-80</t>
  </si>
  <si>
    <t>SESC TAQUARA</t>
  </si>
  <si>
    <t>03.575.238/0034-00</t>
  </si>
  <si>
    <t>SESC TORRES - HOTEL</t>
  </si>
  <si>
    <t>03.575.238/0030-78</t>
  </si>
  <si>
    <t>SESC TRAMANDAÍ</t>
  </si>
  <si>
    <t>03.575.238/0037-44</t>
  </si>
  <si>
    <t>SESC TRÊS DE MAIO</t>
  </si>
  <si>
    <t>03.575.238/0055-26</t>
  </si>
  <si>
    <t>SESC URUGUAIANA</t>
  </si>
  <si>
    <t>03.575.238/0007-29</t>
  </si>
  <si>
    <t>SESC VACARIA</t>
  </si>
  <si>
    <t>03.575.238/0063-36</t>
  </si>
  <si>
    <t>SESC VIAMÃO</t>
  </si>
  <si>
    <t>03.575.238/0038-25</t>
  </si>
  <si>
    <t>SESC VENANCIO AIRES</t>
  </si>
  <si>
    <t>03.575.238/0032-30</t>
  </si>
  <si>
    <t>CÁLCULO VENDAS CANCELADAS CARTÃO DE CREDITO - MENSAL/PLANOS</t>
  </si>
  <si>
    <t>***Somente os campos em amarelo devem ser preenchidos pela UO.</t>
  </si>
  <si>
    <t>MENSAL</t>
  </si>
  <si>
    <t>descrição</t>
  </si>
  <si>
    <t>valor</t>
  </si>
  <si>
    <t>valor mês/dia</t>
  </si>
  <si>
    <t>quantidade mês/dias</t>
  </si>
  <si>
    <t>multa</t>
  </si>
  <si>
    <t>cobrança</t>
  </si>
  <si>
    <t>Selecione, abaixo, a opção desejada.</t>
  </si>
  <si>
    <t>TRIMESTRAL</t>
  </si>
  <si>
    <t>Mensal</t>
  </si>
  <si>
    <t>não</t>
  </si>
  <si>
    <t>dias</t>
  </si>
  <si>
    <t>ANUAL</t>
  </si>
  <si>
    <t>Trimestral</t>
  </si>
  <si>
    <t>sim</t>
  </si>
  <si>
    <t>mês integral</t>
  </si>
  <si>
    <t>SEMESTRAL</t>
  </si>
  <si>
    <t>Semestral</t>
  </si>
  <si>
    <t>Anual</t>
  </si>
  <si>
    <t>data da venda</t>
  </si>
  <si>
    <t>Data do cancelamento</t>
  </si>
  <si>
    <t>Dias disponibilizados</t>
  </si>
  <si>
    <t>Valor dias disponibilizados</t>
  </si>
  <si>
    <t>SIM</t>
  </si>
  <si>
    <t>Plano (trimestral, semestral e anual)</t>
  </si>
  <si>
    <t>Data da venda</t>
  </si>
  <si>
    <t>Meses disponibilizados</t>
  </si>
  <si>
    <t>Multa mês</t>
  </si>
  <si>
    <t>Valor multa</t>
  </si>
  <si>
    <t>valor do serviço disponibilizado</t>
  </si>
  <si>
    <t>Valor serv. disponibilizado + multa</t>
  </si>
  <si>
    <t>O valor da multa será descontado do valor a devolver?</t>
  </si>
  <si>
    <t>CÁLCULO VENDAS CANCELADAS CARTÃO DE CRÉDITO - RECORRÊNCIA</t>
  </si>
  <si>
    <t>Valor do contrato</t>
  </si>
  <si>
    <t>Multa/mês</t>
  </si>
  <si>
    <t>Valor total multa</t>
  </si>
  <si>
    <t>Valor do serviço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</si>
</sst>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/m/yyyy"/>
    <numFmt numFmtId="165" formatCode="[$R$-416]\ #,##0.00"/>
    <numFmt numFmtId="166" formatCode="dd/mm/yy\ hh:mm"/>
    <numFmt numFmtId="167" formatCode="[$R$-416]\ #,##0.00;[Red]\-[$R$-416]\ #,##0.00"/>
    <numFmt numFmtId="168" formatCode="000.000000\-00"/>
    <numFmt numFmtId="169" formatCode="&quot;R$ &quot;#,##0.00"/>
    <numFmt numFmtId="170" formatCode="_-* #,##0.00_-;\-* #,##0.00_-;_-* \-??_-;_-@_-"/>
    <numFmt numFmtId="171" formatCode="dd/mm/yy;@"/>
    <numFmt numFmtId="172" formatCode="_-&quot;R$ &quot;* #,##0.00_-;&quot;-R$ &quot;* #,##0.00_-;_-&quot;R$ &quot;* \-??_-;_-@_-"/>
    <numFmt numFmtId="173" formatCode="_-[$R$-416]\ * #,##0.00_-;\-[$R$-416]\ * #,##0.00_-;_-[$R$-416]\ * \-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8"/>
      <color theme="0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0"/>
      <name val="Arial"/>
      <family val="2"/>
      <charset val="1"/>
    </font>
    <font>
      <u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20"/>
      <color rgb="FFFF0000"/>
      <name val="Calibri"/>
      <family val="2"/>
      <charset val="1"/>
    </font>
    <font>
      <b/>
      <sz val="12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20"/>
      <color theme="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-0.249977111117893"/>
        <bgColor rgb="FF0070C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rgb="FFFFFFFF"/>
        <bgColor rgb="FFF2F2F2"/>
      </patternFill>
    </fill>
    <fill>
      <patternFill patternType="solid">
        <fgColor rgb="FFDDDDDD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rgb="FF666699"/>
      </patternFill>
    </fill>
    <fill>
      <patternFill patternType="solid">
        <fgColor theme="3" tint="0.39988402966399123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70C0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5" fillId="4" borderId="2" xfId="0" applyFont="1" applyFill="1" applyBorder="1"/>
    <xf numFmtId="164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5" fontId="1" fillId="5" borderId="2" xfId="0" applyNumberFormat="1" applyFont="1" applyFill="1" applyBorder="1" applyAlignment="1">
      <alignment horizontal="left"/>
    </xf>
    <xf numFmtId="0" fontId="5" fillId="6" borderId="2" xfId="0" applyFont="1" applyFill="1" applyBorder="1"/>
    <xf numFmtId="165" fontId="1" fillId="6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left"/>
    </xf>
    <xf numFmtId="0" fontId="1" fillId="7" borderId="0" xfId="0" applyFont="1" applyFill="1"/>
    <xf numFmtId="0" fontId="1" fillId="8" borderId="2" xfId="0" applyFont="1" applyFill="1" applyBorder="1" applyAlignment="1">
      <alignment horizontal="left"/>
    </xf>
    <xf numFmtId="166" fontId="1" fillId="8" borderId="3" xfId="0" applyNumberFormat="1" applyFont="1" applyFill="1" applyBorder="1" applyAlignment="1">
      <alignment horizontal="left"/>
    </xf>
    <xf numFmtId="0" fontId="6" fillId="7" borderId="0" xfId="0" applyFont="1" applyFill="1"/>
    <xf numFmtId="0" fontId="1" fillId="8" borderId="3" xfId="0" applyFont="1" applyFill="1" applyBorder="1" applyAlignment="1">
      <alignment horizontal="left"/>
    </xf>
    <xf numFmtId="167" fontId="1" fillId="8" borderId="3" xfId="0" applyNumberFormat="1" applyFont="1" applyFill="1" applyBorder="1" applyAlignment="1">
      <alignment horizontal="left"/>
    </xf>
    <xf numFmtId="0" fontId="1" fillId="5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168" fontId="5" fillId="9" borderId="2" xfId="0" applyNumberFormat="1" applyFont="1" applyFill="1" applyBorder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center" vertical="center" wrapText="1"/>
    </xf>
    <xf numFmtId="169" fontId="5" fillId="9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170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164" fontId="1" fillId="5" borderId="0" xfId="0" applyNumberFormat="1" applyFont="1" applyFill="1" applyAlignment="1">
      <alignment horizontal="center" vertical="center"/>
    </xf>
    <xf numFmtId="1" fontId="1" fillId="5" borderId="0" xfId="0" applyNumberFormat="1" applyFont="1" applyFill="1" applyAlignment="1">
      <alignment horizontal="center" vertical="center"/>
    </xf>
    <xf numFmtId="170" fontId="1" fillId="5" borderId="0" xfId="0" applyNumberFormat="1" applyFont="1" applyFill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169" fontId="7" fillId="10" borderId="2" xfId="0" applyNumberFormat="1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8" fillId="11" borderId="5" xfId="0" applyFont="1" applyFill="1" applyBorder="1" applyAlignment="1">
      <alignment horizontal="center"/>
    </xf>
    <xf numFmtId="0" fontId="1" fillId="5" borderId="0" xfId="0" applyFont="1" applyFill="1" applyProtection="1">
      <protection locked="0"/>
    </xf>
    <xf numFmtId="171" fontId="1" fillId="5" borderId="0" xfId="0" applyNumberFormat="1" applyFont="1" applyFill="1" applyProtection="1">
      <protection locked="0"/>
    </xf>
    <xf numFmtId="2" fontId="1" fillId="5" borderId="0" xfId="0" applyNumberFormat="1" applyFont="1" applyFill="1" applyProtection="1">
      <protection locked="0"/>
    </xf>
    <xf numFmtId="2" fontId="1" fillId="5" borderId="0" xfId="0" applyNumberFormat="1" applyFont="1" applyFill="1" applyAlignment="1" applyProtection="1">
      <alignment wrapText="1"/>
      <protection locked="0"/>
    </xf>
    <xf numFmtId="0" fontId="1" fillId="5" borderId="0" xfId="0" applyFont="1" applyFill="1"/>
    <xf numFmtId="0" fontId="9" fillId="5" borderId="0" xfId="0" applyFont="1" applyFill="1"/>
    <xf numFmtId="49" fontId="1" fillId="5" borderId="0" xfId="0" applyNumberFormat="1" applyFont="1" applyFill="1" applyProtection="1">
      <protection locked="0"/>
    </xf>
    <xf numFmtId="0" fontId="8" fillId="5" borderId="2" xfId="0" applyFont="1" applyFill="1" applyBorder="1" applyAlignment="1">
      <alignment horizontal="left" vertical="center"/>
    </xf>
    <xf numFmtId="1" fontId="1" fillId="0" borderId="0" xfId="0" applyNumberFormat="1" applyFont="1"/>
    <xf numFmtId="0" fontId="5" fillId="0" borderId="0" xfId="0" applyFont="1" applyAlignment="1">
      <alignment vertical="center"/>
    </xf>
    <xf numFmtId="0" fontId="10" fillId="0" borderId="0" xfId="0" applyFont="1"/>
    <xf numFmtId="0" fontId="11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14" borderId="2" xfId="0" applyFont="1" applyFill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>
      <alignment horizontal="center" vertical="center"/>
    </xf>
    <xf numFmtId="0" fontId="1" fillId="14" borderId="2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4" fillId="0" borderId="2" xfId="0" applyFont="1" applyBorder="1" applyAlignment="1" applyProtection="1">
      <alignment horizontal="center" vertical="center"/>
      <protection locked="0"/>
    </xf>
    <xf numFmtId="172" fontId="1" fillId="0" borderId="2" xfId="0" applyNumberFormat="1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4" fontId="5" fillId="14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5" fillId="1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164" fontId="1" fillId="14" borderId="2" xfId="0" applyNumberFormat="1" applyFont="1" applyFill="1" applyBorder="1" applyAlignment="1" applyProtection="1">
      <alignment horizontal="center" vertical="center"/>
      <protection locked="0"/>
    </xf>
    <xf numFmtId="0" fontId="1" fillId="7" borderId="2" xfId="0" applyFont="1" applyFill="1" applyBorder="1" applyAlignment="1">
      <alignment horizontal="center" vertical="center"/>
    </xf>
    <xf numFmtId="173" fontId="1" fillId="7" borderId="2" xfId="0" applyNumberFormat="1" applyFont="1" applyFill="1" applyBorder="1" applyAlignment="1">
      <alignment vertical="center"/>
    </xf>
    <xf numFmtId="173" fontId="5" fillId="0" borderId="0" xfId="0" applyNumberFormat="1" applyFont="1" applyAlignment="1">
      <alignment horizontal="center" vertical="center"/>
    </xf>
    <xf numFmtId="164" fontId="5" fillId="0" borderId="11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73" fontId="5" fillId="0" borderId="0" xfId="0" applyNumberFormat="1" applyFont="1" applyAlignment="1">
      <alignment vertical="center"/>
    </xf>
    <xf numFmtId="0" fontId="1" fillId="0" borderId="2" xfId="0" applyFont="1" applyBorder="1" applyAlignment="1" applyProtection="1">
      <alignment vertical="center"/>
      <protection locked="0"/>
    </xf>
    <xf numFmtId="0" fontId="15" fillId="0" borderId="0" xfId="0" applyFont="1" applyAlignment="1">
      <alignment horizontal="center" vertical="center"/>
    </xf>
    <xf numFmtId="164" fontId="5" fillId="13" borderId="2" xfId="0" applyNumberFormat="1" applyFont="1" applyFill="1" applyBorder="1" applyAlignment="1">
      <alignment horizontal="center" vertical="center" wrapText="1"/>
    </xf>
    <xf numFmtId="172" fontId="1" fillId="7" borderId="2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5" fillId="14" borderId="6" xfId="0" applyFont="1" applyFill="1" applyBorder="1" applyAlignment="1" applyProtection="1">
      <alignment horizontal="center" vertical="center"/>
      <protection locked="0"/>
    </xf>
    <xf numFmtId="164" fontId="5" fillId="14" borderId="2" xfId="0" applyNumberFormat="1" applyFont="1" applyFill="1" applyBorder="1" applyAlignment="1" applyProtection="1">
      <alignment horizontal="center" vertical="center"/>
      <protection locked="0"/>
    </xf>
    <xf numFmtId="164" fontId="5" fillId="14" borderId="8" xfId="0" applyNumberFormat="1" applyFont="1" applyFill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72" fontId="1" fillId="7" borderId="0" xfId="0" applyNumberFormat="1" applyFont="1" applyFill="1" applyAlignment="1">
      <alignment vertical="center"/>
    </xf>
    <xf numFmtId="172" fontId="14" fillId="7" borderId="0" xfId="0" applyNumberFormat="1" applyFont="1" applyFill="1" applyAlignment="1">
      <alignment vertical="center"/>
    </xf>
    <xf numFmtId="0" fontId="1" fillId="8" borderId="13" xfId="0" applyFont="1" applyFill="1" applyBorder="1" applyAlignment="1">
      <alignment horizontal="left"/>
    </xf>
    <xf numFmtId="166" fontId="1" fillId="5" borderId="0" xfId="0" applyNumberFormat="1" applyFont="1" applyFill="1" applyAlignment="1">
      <alignment horizontal="left"/>
    </xf>
    <xf numFmtId="0" fontId="1" fillId="8" borderId="14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7" fillId="10" borderId="6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172" fontId="1" fillId="5" borderId="2" xfId="0" applyNumberFormat="1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0" fontId="1" fillId="14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3" borderId="1" xfId="0" applyFont="1" applyFill="1" applyBorder="1" applyAlignment="1" applyProtection="1">
      <alignment horizontal="center" vertical="center" wrapText="1"/>
      <protection locked="0"/>
    </xf>
    <xf numFmtId="0" fontId="0" fillId="5" borderId="0" xfId="0" applyFill="1"/>
    <xf numFmtId="0" fontId="1" fillId="15" borderId="0" xfId="0" applyFont="1" applyFill="1"/>
    <xf numFmtId="0" fontId="1" fillId="15" borderId="0" xfId="0" applyFont="1" applyFill="1" applyAlignment="1">
      <alignment horizontal="right"/>
    </xf>
    <xf numFmtId="0" fontId="1" fillId="15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color rgb="FFFFFFFF"/>
      </font>
      <fill>
        <patternFill>
          <bgColor theme="0"/>
        </patternFill>
      </fill>
    </dxf>
    <dxf>
      <font>
        <strike/>
        <color rgb="FFFFFFFF"/>
      </font>
      <fill>
        <patternFill>
          <bgColor theme="0"/>
        </patternFill>
      </fill>
    </dxf>
    <dxf>
      <font>
        <strike/>
        <color rgb="FFFFFFFF"/>
      </font>
      <fill>
        <patternFill>
          <bgColor theme="0"/>
        </patternFill>
      </fill>
    </dxf>
    <dxf>
      <font>
        <strike/>
        <color rgb="FFFFFFFF"/>
      </font>
      <fill>
        <patternFill>
          <bgColor theme="0"/>
        </patternFill>
      </fill>
    </dxf>
    <dxf>
      <font>
        <strike/>
        <color rgb="FFFFFFFF"/>
      </font>
      <fill>
        <patternFill>
          <bgColor theme="0"/>
        </patternFill>
      </fill>
    </dxf>
    <dxf>
      <font>
        <strike/>
        <color rgb="FFFFFFFF"/>
      </font>
      <fill>
        <patternFill>
          <bgColor theme="0"/>
        </patternFill>
      </fill>
    </dxf>
    <dxf>
      <font>
        <strike/>
        <color rgb="FFFFFFFF"/>
      </font>
      <fill>
        <patternFill>
          <bgColor theme="0"/>
        </patternFill>
      </fill>
    </dxf>
    <dxf>
      <font>
        <strike/>
        <color rgb="FFFFFFFF"/>
      </font>
      <fill>
        <patternFill>
          <bgColor theme="0"/>
        </patternFill>
      </fill>
    </dxf>
    <dxf>
      <font>
        <strike/>
        <color rgb="FFFFFFFF"/>
      </font>
      <fill>
        <patternFill>
          <bgColor theme="0"/>
        </patternFill>
      </fill>
    </dxf>
    <dxf>
      <font>
        <color rgb="FFF2F2F2"/>
      </font>
      <fill>
        <patternFill>
          <bgColor theme="4"/>
        </patternFill>
      </fill>
    </dxf>
    <dxf>
      <font>
        <color rgb="FFFFFFFF"/>
      </font>
      <fill>
        <patternFill>
          <bgColor theme="6" tint="-0.249977111117893"/>
        </patternFill>
      </fill>
    </dxf>
    <dxf>
      <font>
        <color rgb="FFF2F2F2"/>
      </font>
      <fill>
        <patternFill>
          <bgColor theme="4"/>
        </patternFill>
      </fill>
    </dxf>
    <dxf>
      <font>
        <color rgb="FFFFFFFF"/>
      </font>
      <fill>
        <patternFill>
          <bgColor theme="6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25"/>
  <sheetViews>
    <sheetView showGridLines="0" tabSelected="1" zoomScale="115" zoomScaleNormal="115" workbookViewId="0">
      <selection activeCell="E20" sqref="E20"/>
    </sheetView>
  </sheetViews>
  <sheetFormatPr defaultColWidth="8.5703125" defaultRowHeight="15" x14ac:dyDescent="0.25"/>
  <cols>
    <col min="1" max="1" width="9.140625" customWidth="1"/>
    <col min="2" max="2" width="2.85546875" customWidth="1"/>
    <col min="3" max="3" width="16.85546875" customWidth="1"/>
    <col min="4" max="4" width="43" customWidth="1"/>
    <col min="5" max="5" width="35.85546875" style="1" customWidth="1"/>
    <col min="6" max="6" width="15.85546875" customWidth="1"/>
    <col min="7" max="7" width="5.85546875" customWidth="1"/>
    <col min="8" max="8" width="4.7109375" customWidth="1"/>
  </cols>
  <sheetData>
    <row r="5" spans="2:8" ht="23.25" customHeight="1" x14ac:dyDescent="0.25">
      <c r="B5" s="2"/>
      <c r="C5" s="96" t="s">
        <v>0</v>
      </c>
      <c r="D5" s="96"/>
      <c r="E5" s="96"/>
      <c r="F5" s="96"/>
      <c r="G5" s="96"/>
      <c r="H5" s="3"/>
    </row>
    <row r="6" spans="2:8" ht="15" customHeight="1" x14ac:dyDescent="0.25">
      <c r="B6" s="2"/>
      <c r="C6" s="96"/>
      <c r="D6" s="96"/>
      <c r="E6" s="96"/>
      <c r="F6" s="96"/>
      <c r="G6" s="96"/>
      <c r="H6" s="95"/>
    </row>
    <row r="7" spans="2:8" ht="13.5" customHeight="1" x14ac:dyDescent="0.25">
      <c r="B7" s="2"/>
      <c r="G7" s="116"/>
      <c r="H7" s="3"/>
    </row>
    <row r="8" spans="2:8" ht="18.75" customHeight="1" x14ac:dyDescent="0.3">
      <c r="B8" s="2"/>
      <c r="D8" s="97" t="s">
        <v>1</v>
      </c>
      <c r="E8" s="97"/>
      <c r="G8" s="117"/>
      <c r="H8" s="3"/>
    </row>
    <row r="9" spans="2:8" x14ac:dyDescent="0.25">
      <c r="B9" s="2"/>
      <c r="G9" s="117"/>
      <c r="H9" s="3"/>
    </row>
    <row r="10" spans="2:8" x14ac:dyDescent="0.25">
      <c r="B10" s="2"/>
      <c r="D10" s="4" t="s">
        <v>2</v>
      </c>
      <c r="E10" s="5"/>
      <c r="G10" s="117"/>
      <c r="H10" s="3"/>
    </row>
    <row r="11" spans="2:8" x14ac:dyDescent="0.25">
      <c r="B11" s="2"/>
      <c r="D11" s="4" t="s">
        <v>3</v>
      </c>
      <c r="E11" s="6"/>
      <c r="G11" s="117"/>
      <c r="H11" s="3"/>
    </row>
    <row r="12" spans="2:8" x14ac:dyDescent="0.25">
      <c r="B12" s="2"/>
      <c r="D12" s="4" t="s">
        <v>4</v>
      </c>
      <c r="E12" s="6"/>
      <c r="G12" s="117"/>
      <c r="H12" s="3"/>
    </row>
    <row r="13" spans="2:8" x14ac:dyDescent="0.25">
      <c r="B13" s="2"/>
      <c r="D13" s="4" t="s">
        <v>5</v>
      </c>
      <c r="E13" s="6"/>
      <c r="G13" s="117"/>
      <c r="H13" s="3"/>
    </row>
    <row r="14" spans="2:8" x14ac:dyDescent="0.25">
      <c r="B14" s="2"/>
      <c r="D14" s="4" t="s">
        <v>6</v>
      </c>
      <c r="E14" s="6"/>
      <c r="G14" s="117"/>
      <c r="H14" s="3"/>
    </row>
    <row r="15" spans="2:8" ht="10.5" customHeight="1" x14ac:dyDescent="0.25">
      <c r="B15" s="2"/>
      <c r="G15" s="117"/>
      <c r="H15" s="3"/>
    </row>
    <row r="16" spans="2:8" x14ac:dyDescent="0.25">
      <c r="B16" s="2"/>
      <c r="D16" s="4" t="s">
        <v>7</v>
      </c>
      <c r="E16" s="6"/>
      <c r="G16" s="117"/>
      <c r="H16" s="3"/>
    </row>
    <row r="17" spans="2:8" ht="14.25" customHeight="1" x14ac:dyDescent="0.25">
      <c r="B17" s="2"/>
      <c r="D17" s="4" t="s">
        <v>8</v>
      </c>
      <c r="E17" s="6"/>
      <c r="G17" s="118"/>
      <c r="H17" s="3"/>
    </row>
    <row r="18" spans="2:8" ht="10.5" customHeight="1" x14ac:dyDescent="0.25">
      <c r="B18" s="2"/>
      <c r="E18" s="7"/>
      <c r="G18" s="119"/>
      <c r="H18" s="3"/>
    </row>
    <row r="19" spans="2:8" x14ac:dyDescent="0.25">
      <c r="B19" s="2"/>
      <c r="D19" s="4" t="s">
        <v>9</v>
      </c>
      <c r="E19" s="7"/>
      <c r="G19" s="119"/>
      <c r="H19" s="3"/>
    </row>
    <row r="20" spans="2:8" x14ac:dyDescent="0.25">
      <c r="B20" s="2"/>
      <c r="D20" s="4" t="s">
        <v>10</v>
      </c>
      <c r="E20" s="7" t="str">
        <f>IF(TRANSACAO!D12="","",TRANSACAO!D12)</f>
        <v/>
      </c>
      <c r="G20" s="120"/>
      <c r="H20" s="3"/>
    </row>
    <row r="21" spans="2:8" ht="10.5" customHeight="1" x14ac:dyDescent="0.25">
      <c r="B21" s="2"/>
      <c r="G21" s="120"/>
      <c r="H21" s="3"/>
    </row>
    <row r="22" spans="2:8" x14ac:dyDescent="0.25">
      <c r="B22" s="2"/>
      <c r="D22" s="4" t="s">
        <v>11</v>
      </c>
      <c r="E22" s="8"/>
      <c r="G22" s="116"/>
      <c r="H22" s="3"/>
    </row>
    <row r="23" spans="2:8" x14ac:dyDescent="0.25">
      <c r="B23" s="2"/>
      <c r="D23" s="9" t="s">
        <v>12</v>
      </c>
      <c r="E23" s="10"/>
      <c r="G23" s="116"/>
      <c r="H23" s="3"/>
    </row>
    <row r="24" spans="2:8" ht="7.5" customHeight="1" x14ac:dyDescent="0.25">
      <c r="B24" s="2"/>
      <c r="H24" s="3"/>
    </row>
    <row r="25" spans="2:8" x14ac:dyDescent="0.25">
      <c r="B25" s="2"/>
      <c r="C25" s="2"/>
      <c r="D25" s="3"/>
      <c r="E25" s="12"/>
      <c r="F25" s="3"/>
      <c r="G25" s="3"/>
      <c r="H25" s="3"/>
    </row>
  </sheetData>
  <mergeCells count="2">
    <mergeCell ref="D8:E8"/>
    <mergeCell ref="C5:G6"/>
  </mergeCells>
  <pageMargins left="0.51180555555555596" right="0.51180555555555596" top="0.78749999999999998" bottom="0.78749999999999998" header="0.511811023622047" footer="0.511811023622047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44"/>
  <sheetViews>
    <sheetView zoomScale="75" zoomScaleNormal="75" workbookViewId="0">
      <selection activeCell="C4" sqref="C4"/>
    </sheetView>
  </sheetViews>
  <sheetFormatPr defaultColWidth="10.140625" defaultRowHeight="15" x14ac:dyDescent="0.25"/>
  <cols>
    <col min="1" max="1" width="3.42578125" style="13" customWidth="1"/>
    <col min="2" max="2" width="8.7109375" style="13" hidden="1" customWidth="1"/>
    <col min="3" max="3" width="28" style="13" customWidth="1"/>
    <col min="4" max="4" width="18.5703125" style="13" customWidth="1"/>
    <col min="5" max="5" width="8.140625" style="13" customWidth="1"/>
    <col min="6" max="6" width="7.140625" style="13" customWidth="1"/>
    <col min="7" max="7" width="12.7109375" style="13" customWidth="1"/>
    <col min="8" max="8" width="6.5703125" style="13" customWidth="1"/>
    <col min="9" max="9" width="7.28515625" style="13" customWidth="1"/>
    <col min="10" max="10" width="12.85546875" style="13" customWidth="1"/>
    <col min="11" max="11" width="9" style="13" customWidth="1"/>
    <col min="12" max="12" width="13.140625" style="13" customWidth="1"/>
    <col min="13" max="13" width="11.7109375" style="13" customWidth="1"/>
    <col min="14" max="14" width="8.42578125" style="13" customWidth="1"/>
    <col min="15" max="15" width="9.28515625" style="13" customWidth="1"/>
    <col min="16" max="16" width="28" style="13" customWidth="1"/>
    <col min="17" max="17" width="10.140625" style="13" customWidth="1"/>
    <col min="18" max="16384" width="10.140625" style="13"/>
  </cols>
  <sheetData>
    <row r="1" spans="3:19" ht="26.25" customHeight="1" x14ac:dyDescent="0.25"/>
    <row r="2" spans="3:19" x14ac:dyDescent="0.25"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3:19" x14ac:dyDescent="0.25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 t="s">
        <v>27</v>
      </c>
      <c r="Q3" s="13" t="s">
        <v>27</v>
      </c>
    </row>
    <row r="4" spans="3:19" ht="82.5" customHeight="1" x14ac:dyDescent="0.25"/>
    <row r="5" spans="3:19" x14ac:dyDescent="0.25"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3:19" x14ac:dyDescent="0.25"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3:19" ht="111" customHeight="1" x14ac:dyDescent="0.25"/>
    <row r="8" spans="3:19" hidden="1" x14ac:dyDescent="0.25">
      <c r="C8" s="92"/>
      <c r="D8" s="92"/>
      <c r="E8" s="16" t="str">
        <f>"4" &amp; TEXT(INT(D8),"yymmdd")</f>
        <v>4000100</v>
      </c>
    </row>
    <row r="9" spans="3:19" x14ac:dyDescent="0.25">
      <c r="C9" s="17" t="s">
        <v>28</v>
      </c>
      <c r="D9" s="17"/>
    </row>
    <row r="10" spans="3:19" x14ac:dyDescent="0.25">
      <c r="C10" s="17" t="s">
        <v>29</v>
      </c>
      <c r="D10" s="17"/>
    </row>
    <row r="11" spans="3:19" x14ac:dyDescent="0.25">
      <c r="C11" s="91" t="s">
        <v>30</v>
      </c>
      <c r="D11" s="91"/>
    </row>
    <row r="12" spans="3:19" x14ac:dyDescent="0.25">
      <c r="C12" s="17" t="s">
        <v>31</v>
      </c>
      <c r="D12" s="17"/>
    </row>
    <row r="13" spans="3:19" x14ac:dyDescent="0.25">
      <c r="C13" s="17" t="s">
        <v>32</v>
      </c>
      <c r="D13" s="17"/>
    </row>
    <row r="14" spans="3:19" x14ac:dyDescent="0.25">
      <c r="C14" s="17" t="s">
        <v>33</v>
      </c>
      <c r="D14" s="17"/>
    </row>
    <row r="15" spans="3:19" x14ac:dyDescent="0.25">
      <c r="C15" s="17" t="s">
        <v>34</v>
      </c>
      <c r="D15" s="17"/>
    </row>
    <row r="16" spans="3:19" x14ac:dyDescent="0.25">
      <c r="C16" s="18" t="s">
        <v>35</v>
      </c>
      <c r="D16" s="18"/>
    </row>
    <row r="17" spans="3:4" x14ac:dyDescent="0.25">
      <c r="C17" s="17" t="s">
        <v>36</v>
      </c>
      <c r="D17" s="17"/>
    </row>
    <row r="18" spans="3:4" x14ac:dyDescent="0.25">
      <c r="C18" s="17" t="s">
        <v>37</v>
      </c>
      <c r="D18" s="17"/>
    </row>
    <row r="19" spans="3:4" x14ac:dyDescent="0.25">
      <c r="C19" s="17" t="s">
        <v>38</v>
      </c>
      <c r="D19" s="17"/>
    </row>
    <row r="20" spans="3:4" x14ac:dyDescent="0.25">
      <c r="C20" s="17" t="s">
        <v>39</v>
      </c>
      <c r="D20" s="17"/>
    </row>
    <row r="21" spans="3:4" x14ac:dyDescent="0.25">
      <c r="C21" s="17" t="s">
        <v>40</v>
      </c>
      <c r="D21" s="17"/>
    </row>
    <row r="22" spans="3:4" x14ac:dyDescent="0.25">
      <c r="C22" s="17" t="s">
        <v>41</v>
      </c>
      <c r="D22" s="17"/>
    </row>
    <row r="23" spans="3:4" x14ac:dyDescent="0.25">
      <c r="C23" s="17" t="s">
        <v>42</v>
      </c>
      <c r="D23" s="17"/>
    </row>
    <row r="24" spans="3:4" x14ac:dyDescent="0.25">
      <c r="C24" s="15" t="s">
        <v>43</v>
      </c>
      <c r="D24" s="15"/>
    </row>
    <row r="25" spans="3:4" x14ac:dyDescent="0.25">
      <c r="C25" s="17" t="s">
        <v>44</v>
      </c>
      <c r="D25" s="17"/>
    </row>
    <row r="26" spans="3:4" x14ac:dyDescent="0.25">
      <c r="C26" s="17" t="s">
        <v>45</v>
      </c>
      <c r="D26" s="17"/>
    </row>
    <row r="27" spans="3:4" x14ac:dyDescent="0.25">
      <c r="C27" s="17" t="s">
        <v>46</v>
      </c>
      <c r="D27" s="17"/>
    </row>
    <row r="28" spans="3:4" x14ac:dyDescent="0.25">
      <c r="C28" s="17" t="s">
        <v>47</v>
      </c>
      <c r="D28" s="17"/>
    </row>
    <row r="29" spans="3:4" x14ac:dyDescent="0.25">
      <c r="C29" s="17" t="s">
        <v>48</v>
      </c>
      <c r="D29" s="17"/>
    </row>
    <row r="30" spans="3:4" x14ac:dyDescent="0.25">
      <c r="C30" s="17" t="s">
        <v>49</v>
      </c>
      <c r="D30" s="17"/>
    </row>
    <row r="31" spans="3:4" x14ac:dyDescent="0.25">
      <c r="C31" s="17" t="s">
        <v>50</v>
      </c>
      <c r="D31" s="17"/>
    </row>
    <row r="32" spans="3:4" x14ac:dyDescent="0.25">
      <c r="C32" s="93" t="s">
        <v>51</v>
      </c>
      <c r="D32" s="93"/>
    </row>
    <row r="33" spans="3:4" x14ac:dyDescent="0.25">
      <c r="C33" s="17" t="s">
        <v>52</v>
      </c>
      <c r="D33" s="17"/>
    </row>
    <row r="34" spans="3:4" x14ac:dyDescent="0.25">
      <c r="C34" s="92"/>
      <c r="D34" s="92"/>
    </row>
    <row r="35" spans="3:4" x14ac:dyDescent="0.25">
      <c r="C35" s="94"/>
      <c r="D35" s="94"/>
    </row>
    <row r="36" spans="3:4" x14ac:dyDescent="0.25">
      <c r="C36" s="94"/>
      <c r="D36" s="94"/>
    </row>
    <row r="37" spans="3:4" x14ac:dyDescent="0.25">
      <c r="C37" s="94"/>
      <c r="D37" s="94"/>
    </row>
    <row r="38" spans="3:4" x14ac:dyDescent="0.25">
      <c r="C38" s="94"/>
      <c r="D38" s="94"/>
    </row>
    <row r="39" spans="3:4" x14ac:dyDescent="0.25">
      <c r="C39" s="94"/>
      <c r="D39" s="94"/>
    </row>
    <row r="40" spans="3:4" x14ac:dyDescent="0.25">
      <c r="C40" s="94"/>
      <c r="D40" s="94"/>
    </row>
    <row r="41" spans="3:4" x14ac:dyDescent="0.25">
      <c r="C41" s="94"/>
      <c r="D41" s="94"/>
    </row>
    <row r="42" spans="3:4" x14ac:dyDescent="0.25">
      <c r="C42" s="94"/>
      <c r="D42" s="94"/>
    </row>
    <row r="43" spans="3:4" x14ac:dyDescent="0.25">
      <c r="C43" s="94"/>
      <c r="D43" s="94"/>
    </row>
    <row r="44" spans="3:4" x14ac:dyDescent="0.25">
      <c r="C44" s="42"/>
      <c r="D44" s="42"/>
    </row>
  </sheetData>
  <pageMargins left="0.7" right="0.7" top="0.75" bottom="0.75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25"/>
  <sheetViews>
    <sheetView zoomScale="75" zoomScaleNormal="75" workbookViewId="0">
      <selection activeCell="C12" sqref="C12"/>
    </sheetView>
  </sheetViews>
  <sheetFormatPr defaultColWidth="9.140625" defaultRowHeight="15" x14ac:dyDescent="0.25"/>
  <cols>
    <col min="1" max="1" width="9.140625" style="19" customWidth="1"/>
    <col min="2" max="2" width="22.28515625" style="19" customWidth="1"/>
    <col min="3" max="3" width="23.140625" style="19" customWidth="1"/>
    <col min="4" max="4" width="15" style="19" customWidth="1"/>
    <col min="5" max="5" width="23.28515625" style="19" customWidth="1"/>
    <col min="6" max="6" width="19.7109375" style="19" customWidth="1"/>
    <col min="7" max="7" width="42.28515625" style="19" customWidth="1"/>
    <col min="8" max="8" width="27.5703125" style="19" customWidth="1"/>
    <col min="9" max="9" width="27.28515625" style="19" customWidth="1"/>
    <col min="10" max="10" width="38.7109375" style="19" customWidth="1"/>
    <col min="11" max="11" width="10.7109375" style="19" customWidth="1"/>
    <col min="12" max="12" width="39" style="19" customWidth="1"/>
    <col min="13" max="13" width="33.28515625" style="19" customWidth="1"/>
    <col min="14" max="14" width="39.5703125" style="19" customWidth="1"/>
    <col min="15" max="15" width="14.28515625" style="19" customWidth="1"/>
    <col min="16" max="16" width="34.140625" style="19" customWidth="1"/>
    <col min="17" max="17" width="24.85546875" style="19" customWidth="1"/>
    <col min="18" max="18" width="24.5703125" style="19" customWidth="1"/>
    <col min="19" max="19" width="26.140625" style="19" customWidth="1"/>
    <col min="20" max="20" width="19.7109375" style="19" customWidth="1"/>
    <col min="21" max="21" width="10.85546875" style="19" customWidth="1"/>
    <col min="22" max="22" width="9.140625" style="19" customWidth="1"/>
    <col min="23" max="16384" width="9.140625" style="19"/>
  </cols>
  <sheetData>
    <row r="2" spans="2:21" x14ac:dyDescent="0.25">
      <c r="B2" s="98" t="s">
        <v>53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</row>
    <row r="3" spans="2:21" ht="30" customHeight="1" x14ac:dyDescent="0.25">
      <c r="B3" s="20" t="s">
        <v>54</v>
      </c>
      <c r="C3" s="20" t="s">
        <v>15</v>
      </c>
      <c r="D3" s="20" t="s">
        <v>55</v>
      </c>
      <c r="E3" s="20" t="s">
        <v>56</v>
      </c>
      <c r="F3" s="20" t="s">
        <v>57</v>
      </c>
      <c r="G3" s="21" t="s">
        <v>58</v>
      </c>
      <c r="H3" s="22" t="s">
        <v>59</v>
      </c>
      <c r="I3" s="23" t="s">
        <v>60</v>
      </c>
      <c r="J3" s="23" t="s">
        <v>61</v>
      </c>
      <c r="K3" s="20" t="s">
        <v>62</v>
      </c>
      <c r="L3" s="20" t="s">
        <v>63</v>
      </c>
      <c r="M3" s="20" t="s">
        <v>33</v>
      </c>
      <c r="N3" s="20" t="s">
        <v>64</v>
      </c>
      <c r="O3" s="20" t="s">
        <v>26</v>
      </c>
      <c r="P3" s="23" t="s">
        <v>65</v>
      </c>
    </row>
    <row r="4" spans="2:21" x14ac:dyDescent="0.25">
      <c r="B4" s="24" t="str">
        <f>IF(CAPA!E10="","",CAPA!E10)</f>
        <v/>
      </c>
      <c r="C4" s="25" t="str">
        <f>IF(CAPA!E11="","",CAPA!E11)</f>
        <v/>
      </c>
      <c r="D4" s="25" t="str">
        <f>IF(CAPA!E12="","",CAPA!E12)</f>
        <v/>
      </c>
      <c r="E4" s="25" t="str">
        <f>IF(CAPA!E13="","",CAPA!E13)</f>
        <v/>
      </c>
      <c r="F4" s="25" t="str">
        <f>IF(CAPA!E16="","",CAPA!E16)</f>
        <v/>
      </c>
      <c r="G4" s="25" t="str">
        <f>IF(CAPA!E17="","",CAPA!E17)</f>
        <v/>
      </c>
      <c r="H4" s="24">
        <f>D12</f>
        <v>0</v>
      </c>
      <c r="I4" s="26">
        <f>TRANSACAO!J3</f>
        <v>0</v>
      </c>
      <c r="J4" s="26">
        <f>G12</f>
        <v>0</v>
      </c>
      <c r="K4" s="25">
        <f>H8</f>
        <v>0</v>
      </c>
      <c r="L4" s="27">
        <f>TRANSACAO!D24</f>
        <v>0</v>
      </c>
      <c r="M4" s="25">
        <f>VALUE(TRANSACAO!D13)</f>
        <v>0</v>
      </c>
      <c r="N4" s="27">
        <f>I12</f>
        <v>0</v>
      </c>
      <c r="O4" s="25" t="str">
        <f>TRANSACAO!P3</f>
        <v/>
      </c>
      <c r="P4" s="28">
        <f>H12</f>
        <v>0</v>
      </c>
      <c r="Q4" s="29"/>
      <c r="R4" s="30"/>
      <c r="S4" s="30"/>
      <c r="T4" s="19" t="s">
        <v>66</v>
      </c>
      <c r="U4" s="19" t="s">
        <v>67</v>
      </c>
    </row>
    <row r="5" spans="2:21" x14ac:dyDescent="0.25">
      <c r="B5" s="30"/>
      <c r="C5" s="31"/>
      <c r="D5" s="31"/>
      <c r="E5" s="31"/>
      <c r="F5" s="31"/>
      <c r="G5" s="31"/>
      <c r="H5" s="30"/>
      <c r="I5" s="32"/>
      <c r="J5" s="32"/>
      <c r="K5" s="31"/>
      <c r="M5" s="31"/>
      <c r="O5" s="31"/>
      <c r="Q5" s="29"/>
      <c r="R5" s="30"/>
      <c r="S5" s="30"/>
    </row>
    <row r="6" spans="2:21" x14ac:dyDescent="0.25">
      <c r="B6" s="99" t="s">
        <v>68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</row>
    <row r="7" spans="2:21" ht="30" customHeight="1" x14ac:dyDescent="0.25">
      <c r="B7" s="33" t="s">
        <v>55</v>
      </c>
      <c r="C7" s="34" t="s">
        <v>60</v>
      </c>
      <c r="D7" s="33" t="s">
        <v>69</v>
      </c>
      <c r="E7" s="33" t="s">
        <v>57</v>
      </c>
      <c r="F7" s="33" t="s">
        <v>56</v>
      </c>
      <c r="G7" s="34" t="s">
        <v>70</v>
      </c>
      <c r="H7" s="33" t="s">
        <v>62</v>
      </c>
      <c r="I7" s="33" t="s">
        <v>63</v>
      </c>
      <c r="J7" s="33" t="s">
        <v>33</v>
      </c>
      <c r="K7" s="35" t="s">
        <v>71</v>
      </c>
      <c r="L7" s="35" t="s">
        <v>26</v>
      </c>
      <c r="M7" s="33" t="s">
        <v>72</v>
      </c>
      <c r="N7" s="33" t="s">
        <v>73</v>
      </c>
      <c r="O7" s="33" t="s">
        <v>74</v>
      </c>
      <c r="P7" s="33" t="s">
        <v>75</v>
      </c>
      <c r="Q7" s="33" t="s">
        <v>76</v>
      </c>
    </row>
    <row r="8" spans="2:21" x14ac:dyDescent="0.25">
      <c r="B8" s="25">
        <f>CAPA!E12</f>
        <v>0</v>
      </c>
      <c r="C8" s="27">
        <f>CAPA!E22</f>
        <v>0</v>
      </c>
      <c r="D8" s="25" t="str">
        <f>G4</f>
        <v/>
      </c>
      <c r="E8" s="25" t="str">
        <f>F4</f>
        <v/>
      </c>
      <c r="F8" s="25" t="str">
        <f>E4</f>
        <v/>
      </c>
      <c r="G8" s="27">
        <f>CAPA!E22</f>
        <v>0</v>
      </c>
      <c r="H8" s="27">
        <f>TRANSACAO!D26</f>
        <v>0</v>
      </c>
      <c r="I8" s="27">
        <f>TRANSACAO!D24</f>
        <v>0</v>
      </c>
      <c r="J8" s="27">
        <f>TRANSACAO!D13</f>
        <v>0</v>
      </c>
      <c r="K8" s="27">
        <f>J8</f>
        <v>0</v>
      </c>
      <c r="L8" s="25" t="str">
        <f>O4</f>
        <v/>
      </c>
      <c r="M8" s="27">
        <f>CAPA!E10</f>
        <v>0</v>
      </c>
      <c r="N8" s="27"/>
      <c r="O8" s="27"/>
      <c r="P8" s="27"/>
      <c r="Q8" s="27"/>
    </row>
    <row r="10" spans="2:21" x14ac:dyDescent="0.25">
      <c r="B10" s="36"/>
    </row>
    <row r="11" spans="2:21" x14ac:dyDescent="0.2">
      <c r="B11" s="37" t="s">
        <v>77</v>
      </c>
      <c r="C11" s="37" t="s">
        <v>78</v>
      </c>
      <c r="D11" s="37" t="s">
        <v>79</v>
      </c>
      <c r="E11" s="37" t="s">
        <v>80</v>
      </c>
      <c r="F11" s="37" t="s">
        <v>81</v>
      </c>
      <c r="G11" s="37" t="s">
        <v>82</v>
      </c>
      <c r="H11" s="37" t="s">
        <v>83</v>
      </c>
      <c r="I11" s="37" t="s">
        <v>84</v>
      </c>
      <c r="J11" s="37" t="s">
        <v>85</v>
      </c>
    </row>
    <row r="12" spans="2:21" x14ac:dyDescent="0.25">
      <c r="B12" s="31">
        <f>CAPA!E14</f>
        <v>0</v>
      </c>
      <c r="C12" s="38" t="str">
        <f>TRANSACAO!E8</f>
        <v>4000100</v>
      </c>
      <c r="D12" s="39">
        <f>TRANSACAO!D8</f>
        <v>0</v>
      </c>
      <c r="E12" s="38">
        <f>TRANSACAO!D11</f>
        <v>0</v>
      </c>
      <c r="F12" s="39">
        <f>D12</f>
        <v>0</v>
      </c>
      <c r="G12" s="40">
        <f>IF(TRANSACAO!D15&lt;&gt;"",TRANSACAO!D15,TRANSACAO!J3)</f>
        <v>0</v>
      </c>
      <c r="H12" s="41">
        <f>CAPA!E23</f>
        <v>0</v>
      </c>
      <c r="I12" s="19">
        <f>TRANSACAO!D20</f>
        <v>0</v>
      </c>
      <c r="J12" s="38" t="s">
        <v>86</v>
      </c>
    </row>
    <row r="13" spans="2:21" x14ac:dyDescent="0.25">
      <c r="N13" s="42"/>
    </row>
    <row r="14" spans="2:21" x14ac:dyDescent="0.25">
      <c r="F14" s="42"/>
      <c r="G14" s="42"/>
      <c r="H14" s="42"/>
      <c r="I14" s="42"/>
      <c r="J14" s="42"/>
      <c r="K14" s="42"/>
      <c r="L14" s="42"/>
      <c r="M14" s="42"/>
      <c r="N14" s="42"/>
      <c r="P14" s="43"/>
    </row>
    <row r="15" spans="2:21" x14ac:dyDescent="0.25">
      <c r="F15" s="42"/>
      <c r="G15" s="42"/>
      <c r="H15" s="42"/>
      <c r="I15" s="42"/>
      <c r="J15" s="42"/>
      <c r="K15" s="42"/>
      <c r="L15" s="42"/>
      <c r="M15" s="44"/>
      <c r="N15" s="42"/>
    </row>
    <row r="16" spans="2:21" ht="33" customHeight="1" x14ac:dyDescent="0.25">
      <c r="B16" s="100" t="s">
        <v>87</v>
      </c>
      <c r="C16" s="101"/>
      <c r="D16" s="102"/>
      <c r="F16" s="42"/>
      <c r="G16" s="42"/>
      <c r="H16" s="42"/>
      <c r="I16" s="42"/>
      <c r="J16" s="42"/>
      <c r="K16" s="42"/>
      <c r="L16" s="42"/>
      <c r="M16" s="42"/>
      <c r="N16" s="42"/>
    </row>
    <row r="17" spans="2:14" x14ac:dyDescent="0.25">
      <c r="B17" s="45" t="s">
        <v>88</v>
      </c>
      <c r="C17" s="103" t="str">
        <f>IFERROR(VLOOKUP(CAPA!E14,Planilha1!A:C,3,TRUE),"")</f>
        <v/>
      </c>
      <c r="D17" s="103"/>
      <c r="F17" s="44"/>
      <c r="G17" s="42"/>
      <c r="H17" s="42"/>
      <c r="I17" s="42"/>
      <c r="J17" s="42"/>
      <c r="K17" s="42"/>
      <c r="L17" s="42"/>
      <c r="M17" s="42"/>
      <c r="N17" s="42"/>
    </row>
    <row r="18" spans="2:14" x14ac:dyDescent="0.25">
      <c r="B18" s="45" t="s">
        <v>89</v>
      </c>
      <c r="C18" s="104">
        <f>IFERROR(G12,"")</f>
        <v>0</v>
      </c>
      <c r="D18" s="104"/>
    </row>
    <row r="19" spans="2:14" x14ac:dyDescent="0.25">
      <c r="B19" s="45" t="s">
        <v>90</v>
      </c>
      <c r="C19" s="106" t="str">
        <f>IFERROR(#REF!,"")</f>
        <v/>
      </c>
      <c r="D19" s="106"/>
    </row>
    <row r="20" spans="2:14" x14ac:dyDescent="0.25">
      <c r="B20" s="45" t="s">
        <v>91</v>
      </c>
      <c r="C20" s="107">
        <f>H12</f>
        <v>0</v>
      </c>
      <c r="D20" s="103"/>
    </row>
    <row r="21" spans="2:14" x14ac:dyDescent="0.25">
      <c r="B21" s="45" t="s">
        <v>71</v>
      </c>
      <c r="C21" s="103">
        <f>K8</f>
        <v>0</v>
      </c>
      <c r="D21" s="103"/>
    </row>
    <row r="22" spans="2:14" x14ac:dyDescent="0.25">
      <c r="B22" s="45" t="s">
        <v>92</v>
      </c>
      <c r="C22" s="105" t="e">
        <f>VLOOKUP(CAPA!E14,Planilha1!A:D,4,0)</f>
        <v>#N/A</v>
      </c>
      <c r="D22" s="105"/>
    </row>
    <row r="23" spans="2:14" x14ac:dyDescent="0.25">
      <c r="B23" s="45" t="s">
        <v>93</v>
      </c>
      <c r="C23" s="103">
        <f>E12</f>
        <v>0</v>
      </c>
      <c r="D23" s="103"/>
    </row>
    <row r="24" spans="2:14" x14ac:dyDescent="0.25">
      <c r="B24" s="45" t="s">
        <v>94</v>
      </c>
      <c r="C24" s="103">
        <f>H8</f>
        <v>0</v>
      </c>
      <c r="D24" s="103"/>
    </row>
    <row r="25" spans="2:14" x14ac:dyDescent="0.25">
      <c r="B25" s="45" t="s">
        <v>95</v>
      </c>
      <c r="C25" s="105">
        <f>CAPA!E12</f>
        <v>0</v>
      </c>
      <c r="D25" s="103"/>
    </row>
  </sheetData>
  <mergeCells count="12">
    <mergeCell ref="C24:D24"/>
    <mergeCell ref="C25:D25"/>
    <mergeCell ref="C19:D19"/>
    <mergeCell ref="C20:D20"/>
    <mergeCell ref="C21:D21"/>
    <mergeCell ref="C22:D22"/>
    <mergeCell ref="C23:D23"/>
    <mergeCell ref="B2:U2"/>
    <mergeCell ref="B6:Q6"/>
    <mergeCell ref="B16:D16"/>
    <mergeCell ref="C17:D17"/>
    <mergeCell ref="C18:D18"/>
  </mergeCells>
  <conditionalFormatting sqref="B16">
    <cfRule type="expression" dxfId="12" priority="1">
      <formula>NOT(ISERROR(SEARCH("VERDECARD",B16)))</formula>
    </cfRule>
    <cfRule type="expression" dxfId="11" priority="2">
      <formula>NOT(ISERROR(SEARCH("BANRICOMPRAS",B16)))</formula>
    </cfRule>
  </conditionalFormatting>
  <conditionalFormatting sqref="B7:Q7">
    <cfRule type="expression" dxfId="10" priority="4">
      <formula>NOT(ISERROR(SEARCH("VERDECARD",B7)))</formula>
    </cfRule>
    <cfRule type="expression" dxfId="9" priority="5">
      <formula>NOT(ISERROR(SEARCH("BANRICOMPRAS",B7)))</formula>
    </cfRule>
  </conditionalFormatting>
  <dataValidations count="1">
    <dataValidation showInputMessage="1" showErrorMessage="1" sqref="B11:J12 O11:S18 F13:S18" xr:uid="{00000000-0002-0000-0200-000000000000}"/>
  </dataValidations>
  <pageMargins left="0.51180555555555596" right="0.51180555555555596" top="0.78749999999999998" bottom="0.78749999999999998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63"/>
  <sheetViews>
    <sheetView zoomScaleNormal="100" workbookViewId="0"/>
  </sheetViews>
  <sheetFormatPr defaultRowHeight="15" x14ac:dyDescent="0.25"/>
  <cols>
    <col min="1" max="1" width="17.5703125" customWidth="1"/>
    <col min="2" max="2" width="36.7109375" customWidth="1"/>
    <col min="3" max="3" width="18.5703125" customWidth="1"/>
    <col min="4" max="4" width="24.28515625" style="46" customWidth="1"/>
  </cols>
  <sheetData>
    <row r="3" spans="1:4" x14ac:dyDescent="0.25">
      <c r="B3" t="s">
        <v>96</v>
      </c>
      <c r="C3" t="s">
        <v>88</v>
      </c>
      <c r="D3" s="46" t="s">
        <v>92</v>
      </c>
    </row>
    <row r="4" spans="1:4" x14ac:dyDescent="0.25">
      <c r="A4">
        <v>1006957020</v>
      </c>
      <c r="B4" t="s">
        <v>97</v>
      </c>
      <c r="C4" t="s">
        <v>98</v>
      </c>
      <c r="D4" s="46">
        <v>41123700000300</v>
      </c>
    </row>
    <row r="5" spans="1:4" x14ac:dyDescent="0.25">
      <c r="A5">
        <v>2778065800</v>
      </c>
      <c r="B5" t="s">
        <v>99</v>
      </c>
      <c r="C5" t="s">
        <v>100</v>
      </c>
      <c r="D5" s="46">
        <v>41123700006900</v>
      </c>
    </row>
    <row r="6" spans="1:4" x14ac:dyDescent="0.25">
      <c r="A6">
        <v>1006956740</v>
      </c>
      <c r="B6" t="s">
        <v>101</v>
      </c>
      <c r="C6" t="s">
        <v>102</v>
      </c>
      <c r="D6" s="46">
        <v>41123700000500</v>
      </c>
    </row>
    <row r="7" spans="1:4" x14ac:dyDescent="0.25">
      <c r="A7">
        <v>2895942891</v>
      </c>
      <c r="B7" t="s">
        <v>103</v>
      </c>
      <c r="C7" t="s">
        <v>104</v>
      </c>
      <c r="D7" s="46">
        <v>41123700008500</v>
      </c>
    </row>
    <row r="8" spans="1:4" x14ac:dyDescent="0.25">
      <c r="A8">
        <v>1006957003</v>
      </c>
      <c r="B8" t="s">
        <v>105</v>
      </c>
      <c r="C8" t="s">
        <v>106</v>
      </c>
      <c r="D8" s="46">
        <v>41123700002500</v>
      </c>
    </row>
    <row r="9" spans="1:4" x14ac:dyDescent="0.25">
      <c r="A9">
        <v>1015704848</v>
      </c>
      <c r="B9" t="s">
        <v>107</v>
      </c>
      <c r="C9" t="s">
        <v>108</v>
      </c>
      <c r="D9" s="46">
        <v>41123700002300</v>
      </c>
    </row>
    <row r="10" spans="1:4" x14ac:dyDescent="0.25">
      <c r="A10">
        <v>2778140896</v>
      </c>
      <c r="B10" t="s">
        <v>109</v>
      </c>
      <c r="C10" t="s">
        <v>110</v>
      </c>
      <c r="D10" s="46">
        <v>41123700004600</v>
      </c>
    </row>
    <row r="11" spans="1:4" x14ac:dyDescent="0.25">
      <c r="A11">
        <v>1014953569</v>
      </c>
      <c r="B11" t="s">
        <v>111</v>
      </c>
      <c r="C11" t="s">
        <v>112</v>
      </c>
      <c r="D11" s="46">
        <v>41123700001300</v>
      </c>
    </row>
    <row r="12" spans="1:4" x14ac:dyDescent="0.25">
      <c r="A12">
        <v>1034211312</v>
      </c>
      <c r="B12" t="s">
        <v>113</v>
      </c>
      <c r="C12" t="s">
        <v>114</v>
      </c>
      <c r="D12" s="46">
        <v>41123700004100</v>
      </c>
    </row>
    <row r="13" spans="1:4" x14ac:dyDescent="0.25">
      <c r="A13">
        <v>1015704988</v>
      </c>
      <c r="B13" t="s">
        <v>115</v>
      </c>
      <c r="C13" t="s">
        <v>116</v>
      </c>
      <c r="D13" s="46">
        <v>41123700002900</v>
      </c>
    </row>
    <row r="14" spans="1:4" x14ac:dyDescent="0.25">
      <c r="A14">
        <v>1059465350</v>
      </c>
      <c r="B14" t="s">
        <v>117</v>
      </c>
      <c r="C14" t="s">
        <v>118</v>
      </c>
      <c r="D14" s="46">
        <v>41123700004000</v>
      </c>
    </row>
    <row r="15" spans="1:4" x14ac:dyDescent="0.25">
      <c r="A15">
        <v>1006957046</v>
      </c>
      <c r="B15" t="s">
        <v>119</v>
      </c>
      <c r="C15" t="s">
        <v>120</v>
      </c>
      <c r="D15" s="46">
        <v>41123700002100</v>
      </c>
    </row>
    <row r="16" spans="1:4" x14ac:dyDescent="0.25">
      <c r="A16">
        <v>1006956937</v>
      </c>
      <c r="B16" t="s">
        <v>121</v>
      </c>
      <c r="C16" t="s">
        <v>122</v>
      </c>
      <c r="D16" s="46">
        <v>41123700002400</v>
      </c>
    </row>
    <row r="17" spans="1:4" x14ac:dyDescent="0.25">
      <c r="A17">
        <v>1034211290</v>
      </c>
      <c r="B17" t="s">
        <v>123</v>
      </c>
      <c r="C17" t="s">
        <v>124</v>
      </c>
      <c r="D17" s="46">
        <v>41123700004200</v>
      </c>
    </row>
    <row r="18" spans="1:4" x14ac:dyDescent="0.25">
      <c r="A18">
        <v>1040073198</v>
      </c>
      <c r="B18" t="s">
        <v>125</v>
      </c>
      <c r="C18" t="s">
        <v>126</v>
      </c>
      <c r="D18" s="46">
        <v>41123700003900</v>
      </c>
    </row>
    <row r="19" spans="1:4" x14ac:dyDescent="0.25">
      <c r="A19">
        <v>1034211282</v>
      </c>
      <c r="B19" t="s">
        <v>127</v>
      </c>
      <c r="C19" t="s">
        <v>128</v>
      </c>
      <c r="D19" s="46">
        <v>41123700000400</v>
      </c>
    </row>
    <row r="20" spans="1:4" x14ac:dyDescent="0.25">
      <c r="A20">
        <v>1006956929</v>
      </c>
      <c r="B20" t="s">
        <v>129</v>
      </c>
      <c r="C20" t="s">
        <v>130</v>
      </c>
      <c r="D20" s="46">
        <v>41123700001600</v>
      </c>
    </row>
    <row r="21" spans="1:4" x14ac:dyDescent="0.25">
      <c r="A21">
        <v>1006956910</v>
      </c>
      <c r="B21" t="s">
        <v>131</v>
      </c>
      <c r="C21" t="s">
        <v>132</v>
      </c>
      <c r="D21" s="46">
        <v>41123700002700</v>
      </c>
    </row>
    <row r="22" spans="1:4" x14ac:dyDescent="0.25">
      <c r="A22">
        <v>1012740967</v>
      </c>
      <c r="B22" t="s">
        <v>133</v>
      </c>
      <c r="C22" t="s">
        <v>134</v>
      </c>
      <c r="D22" s="46">
        <v>41123700003300</v>
      </c>
    </row>
    <row r="23" spans="1:4" x14ac:dyDescent="0.25">
      <c r="A23">
        <v>1043852465</v>
      </c>
      <c r="B23" t="s">
        <v>135</v>
      </c>
      <c r="C23" t="s">
        <v>136</v>
      </c>
      <c r="D23" s="46">
        <v>41123700004300</v>
      </c>
    </row>
    <row r="24" spans="1:4" x14ac:dyDescent="0.25">
      <c r="A24">
        <v>1013722784</v>
      </c>
      <c r="B24" t="s">
        <v>137</v>
      </c>
      <c r="C24" t="s">
        <v>138</v>
      </c>
      <c r="D24" s="46">
        <v>41123700003500</v>
      </c>
    </row>
    <row r="25" spans="1:4" x14ac:dyDescent="0.25">
      <c r="A25">
        <v>1020269011</v>
      </c>
      <c r="B25" t="s">
        <v>139</v>
      </c>
      <c r="C25" t="s">
        <v>140</v>
      </c>
      <c r="D25" s="46">
        <v>41123700003600</v>
      </c>
    </row>
    <row r="26" spans="1:4" x14ac:dyDescent="0.25">
      <c r="A26">
        <v>1012456444</v>
      </c>
      <c r="B26" t="s">
        <v>141</v>
      </c>
      <c r="C26" t="s">
        <v>142</v>
      </c>
      <c r="D26" s="46">
        <v>41123700000800</v>
      </c>
    </row>
    <row r="27" spans="1:4" x14ac:dyDescent="0.25">
      <c r="A27">
        <v>1067221201</v>
      </c>
      <c r="B27" t="s">
        <v>143</v>
      </c>
      <c r="C27" t="s">
        <v>144</v>
      </c>
      <c r="D27" s="46">
        <v>41123700005400</v>
      </c>
    </row>
    <row r="28" spans="1:4" x14ac:dyDescent="0.25">
      <c r="A28">
        <v>2760786956</v>
      </c>
      <c r="B28" t="s">
        <v>145</v>
      </c>
      <c r="C28" t="s">
        <v>146</v>
      </c>
      <c r="D28" s="46">
        <v>41123700008600</v>
      </c>
    </row>
    <row r="29" spans="1:4" x14ac:dyDescent="0.25">
      <c r="A29">
        <v>2896300737</v>
      </c>
      <c r="B29" t="s">
        <v>147</v>
      </c>
      <c r="C29" t="s">
        <v>148</v>
      </c>
      <c r="D29" s="46">
        <v>41123700008400</v>
      </c>
    </row>
    <row r="30" spans="1:4" x14ac:dyDescent="0.25">
      <c r="A30">
        <v>1006963038</v>
      </c>
      <c r="B30" t="s">
        <v>149</v>
      </c>
      <c r="C30" t="s">
        <v>150</v>
      </c>
      <c r="D30" s="46">
        <v>41123700001800</v>
      </c>
    </row>
    <row r="31" spans="1:4" x14ac:dyDescent="0.25">
      <c r="A31">
        <v>1012411971</v>
      </c>
      <c r="B31" t="s">
        <v>151</v>
      </c>
      <c r="C31" t="s">
        <v>152</v>
      </c>
      <c r="D31" s="46">
        <v>41123700003100</v>
      </c>
    </row>
    <row r="32" spans="1:4" x14ac:dyDescent="0.25">
      <c r="A32">
        <v>2900505741</v>
      </c>
      <c r="B32" t="s">
        <v>153</v>
      </c>
      <c r="C32" t="s">
        <v>154</v>
      </c>
      <c r="D32" s="46" t="s">
        <v>155</v>
      </c>
    </row>
    <row r="33" spans="1:4" x14ac:dyDescent="0.25">
      <c r="A33">
        <v>1006956899</v>
      </c>
      <c r="B33" t="s">
        <v>156</v>
      </c>
      <c r="C33" t="s">
        <v>157</v>
      </c>
      <c r="D33" s="46">
        <v>41123700001700</v>
      </c>
    </row>
    <row r="34" spans="1:4" x14ac:dyDescent="0.25">
      <c r="A34">
        <v>1096168615</v>
      </c>
      <c r="B34" t="s">
        <v>158</v>
      </c>
      <c r="C34" t="s">
        <v>159</v>
      </c>
      <c r="D34" s="46">
        <v>41123700005000</v>
      </c>
    </row>
    <row r="35" spans="1:4" x14ac:dyDescent="0.25">
      <c r="A35">
        <v>1096168607</v>
      </c>
      <c r="B35" t="s">
        <v>160</v>
      </c>
      <c r="C35" t="s">
        <v>161</v>
      </c>
      <c r="D35" s="46">
        <v>41123700004900</v>
      </c>
    </row>
    <row r="36" spans="1:4" x14ac:dyDescent="0.25">
      <c r="A36">
        <v>1006963020</v>
      </c>
      <c r="B36" t="s">
        <v>162</v>
      </c>
      <c r="C36" t="s">
        <v>163</v>
      </c>
      <c r="D36" s="46">
        <v>41123700002000</v>
      </c>
    </row>
    <row r="37" spans="1:4" x14ac:dyDescent="0.25">
      <c r="A37">
        <v>1006956880</v>
      </c>
      <c r="B37" t="s">
        <v>164</v>
      </c>
      <c r="C37" t="s">
        <v>165</v>
      </c>
      <c r="D37" s="46">
        <v>41123700001400</v>
      </c>
    </row>
    <row r="38" spans="1:4" x14ac:dyDescent="0.25">
      <c r="A38">
        <v>1005526823</v>
      </c>
      <c r="B38" t="s">
        <v>166</v>
      </c>
      <c r="C38" t="s">
        <v>167</v>
      </c>
      <c r="D38" s="46">
        <v>41123700000200</v>
      </c>
    </row>
    <row r="39" spans="1:4" x14ac:dyDescent="0.25">
      <c r="A39">
        <v>2897596974</v>
      </c>
      <c r="B39" t="s">
        <v>168</v>
      </c>
      <c r="C39" t="s">
        <v>169</v>
      </c>
      <c r="D39" s="46">
        <v>41123700008100</v>
      </c>
    </row>
    <row r="40" spans="1:4" x14ac:dyDescent="0.25">
      <c r="A40">
        <v>1014327900</v>
      </c>
      <c r="B40" t="s">
        <v>170</v>
      </c>
      <c r="C40" t="s">
        <v>171</v>
      </c>
      <c r="D40" s="46">
        <v>41123700001900</v>
      </c>
    </row>
    <row r="41" spans="1:4" x14ac:dyDescent="0.25">
      <c r="A41">
        <v>1006956961</v>
      </c>
      <c r="B41" t="s">
        <v>172</v>
      </c>
      <c r="C41" t="s">
        <v>173</v>
      </c>
      <c r="D41" s="46">
        <v>41123700001000</v>
      </c>
    </row>
    <row r="42" spans="1:4" x14ac:dyDescent="0.25">
      <c r="A42">
        <v>1006957143</v>
      </c>
      <c r="B42" t="s">
        <v>174</v>
      </c>
      <c r="C42" t="s">
        <v>175</v>
      </c>
      <c r="D42" s="46">
        <v>41123700000900</v>
      </c>
    </row>
    <row r="43" spans="1:4" x14ac:dyDescent="0.25">
      <c r="A43">
        <v>1006957135</v>
      </c>
      <c r="B43" t="s">
        <v>176</v>
      </c>
      <c r="C43" t="s">
        <v>177</v>
      </c>
      <c r="D43" s="46">
        <v>41123700002600</v>
      </c>
    </row>
    <row r="44" spans="1:4" x14ac:dyDescent="0.25">
      <c r="A44">
        <v>1012412013</v>
      </c>
      <c r="B44" t="s">
        <v>178</v>
      </c>
      <c r="C44" t="s">
        <v>179</v>
      </c>
      <c r="D44" s="46">
        <v>41123700002200</v>
      </c>
    </row>
    <row r="45" spans="1:4" x14ac:dyDescent="0.25">
      <c r="A45">
        <v>1096168623</v>
      </c>
      <c r="B45" t="s">
        <v>180</v>
      </c>
      <c r="C45" t="s">
        <v>181</v>
      </c>
      <c r="D45" s="46">
        <v>41123700005100</v>
      </c>
    </row>
    <row r="46" spans="1:4" x14ac:dyDescent="0.25">
      <c r="A46">
        <v>1006957119</v>
      </c>
      <c r="B46" t="s">
        <v>182</v>
      </c>
      <c r="C46" t="s">
        <v>183</v>
      </c>
      <c r="D46" s="46">
        <v>41123700001100</v>
      </c>
    </row>
    <row r="47" spans="1:4" x14ac:dyDescent="0.25">
      <c r="A47">
        <v>1010678504</v>
      </c>
      <c r="B47" t="s">
        <v>184</v>
      </c>
      <c r="C47" t="s">
        <v>185</v>
      </c>
      <c r="D47" s="46">
        <v>41123700002800</v>
      </c>
    </row>
    <row r="48" spans="1:4" x14ac:dyDescent="0.25">
      <c r="A48">
        <v>1006957100</v>
      </c>
      <c r="B48" t="s">
        <v>186</v>
      </c>
      <c r="C48" t="s">
        <v>187</v>
      </c>
      <c r="D48" s="46">
        <v>41123700001200</v>
      </c>
    </row>
    <row r="49" spans="1:4" x14ac:dyDescent="0.25">
      <c r="A49">
        <v>1057448467</v>
      </c>
      <c r="B49" t="s">
        <v>188</v>
      </c>
      <c r="C49" t="s">
        <v>189</v>
      </c>
      <c r="D49" s="46">
        <v>41123700004500</v>
      </c>
    </row>
    <row r="50" spans="1:4" x14ac:dyDescent="0.25">
      <c r="A50">
        <v>1096780124</v>
      </c>
      <c r="B50" t="s">
        <v>190</v>
      </c>
      <c r="C50" t="s">
        <v>191</v>
      </c>
      <c r="D50" s="46">
        <v>41123700006700</v>
      </c>
    </row>
    <row r="51" spans="1:4" x14ac:dyDescent="0.25">
      <c r="A51">
        <v>1096168658</v>
      </c>
      <c r="B51" t="s">
        <v>192</v>
      </c>
      <c r="C51" t="s">
        <v>193</v>
      </c>
      <c r="D51" s="46">
        <v>41123700006400</v>
      </c>
    </row>
    <row r="52" spans="1:4" x14ac:dyDescent="0.25">
      <c r="A52">
        <v>2898427327</v>
      </c>
      <c r="B52" t="s">
        <v>194</v>
      </c>
      <c r="C52" t="s">
        <v>195</v>
      </c>
    </row>
    <row r="53" spans="1:4" x14ac:dyDescent="0.25">
      <c r="A53">
        <v>1006956708</v>
      </c>
      <c r="B53" t="s">
        <v>196</v>
      </c>
      <c r="C53" t="s">
        <v>197</v>
      </c>
      <c r="D53" s="46">
        <v>41123700000100</v>
      </c>
    </row>
    <row r="54" spans="1:4" x14ac:dyDescent="0.25">
      <c r="A54">
        <v>2897203069</v>
      </c>
      <c r="B54" t="s">
        <v>198</v>
      </c>
      <c r="C54" t="s">
        <v>199</v>
      </c>
      <c r="D54" s="46">
        <v>41123700009000</v>
      </c>
    </row>
    <row r="55" spans="1:4" x14ac:dyDescent="0.25">
      <c r="A55">
        <v>2898296923</v>
      </c>
      <c r="B55" t="s">
        <v>200</v>
      </c>
      <c r="C55" t="s">
        <v>201</v>
      </c>
      <c r="D55" s="46">
        <v>41123700008300</v>
      </c>
    </row>
    <row r="56" spans="1:4" x14ac:dyDescent="0.25">
      <c r="A56">
        <v>1014327862</v>
      </c>
      <c r="B56" t="s">
        <v>202</v>
      </c>
      <c r="C56" t="s">
        <v>203</v>
      </c>
      <c r="D56" s="46">
        <v>41123700003400</v>
      </c>
    </row>
    <row r="57" spans="1:4" x14ac:dyDescent="0.25">
      <c r="A57">
        <v>1012195470</v>
      </c>
      <c r="B57" t="s">
        <v>204</v>
      </c>
      <c r="C57" t="s">
        <v>205</v>
      </c>
      <c r="D57" s="46">
        <v>41123700003000</v>
      </c>
    </row>
    <row r="58" spans="1:4" x14ac:dyDescent="0.25">
      <c r="A58">
        <v>1027418330</v>
      </c>
      <c r="B58" t="s">
        <v>206</v>
      </c>
      <c r="C58" t="s">
        <v>207</v>
      </c>
      <c r="D58" s="46">
        <v>41123700003700</v>
      </c>
    </row>
    <row r="59" spans="1:4" x14ac:dyDescent="0.25">
      <c r="A59">
        <v>1067221244</v>
      </c>
      <c r="B59" t="s">
        <v>208</v>
      </c>
      <c r="C59" t="s">
        <v>209</v>
      </c>
      <c r="D59" s="46">
        <v>41123700005500</v>
      </c>
    </row>
    <row r="60" spans="1:4" x14ac:dyDescent="0.25">
      <c r="A60">
        <v>1006957097</v>
      </c>
      <c r="B60" t="s">
        <v>210</v>
      </c>
      <c r="C60" t="s">
        <v>211</v>
      </c>
      <c r="D60" s="46">
        <v>41123700000700</v>
      </c>
    </row>
    <row r="61" spans="1:4" x14ac:dyDescent="0.25">
      <c r="A61">
        <v>1067221252</v>
      </c>
      <c r="B61" t="s">
        <v>212</v>
      </c>
      <c r="C61" t="s">
        <v>213</v>
      </c>
      <c r="D61" s="46">
        <v>41123700006300</v>
      </c>
    </row>
    <row r="62" spans="1:4" x14ac:dyDescent="0.25">
      <c r="A62">
        <v>1045331691</v>
      </c>
      <c r="B62" t="s">
        <v>214</v>
      </c>
      <c r="C62" t="s">
        <v>215</v>
      </c>
      <c r="D62" s="46">
        <v>41123700003800</v>
      </c>
    </row>
    <row r="63" spans="1:4" x14ac:dyDescent="0.25">
      <c r="A63">
        <v>1012369401</v>
      </c>
      <c r="B63" t="s">
        <v>216</v>
      </c>
      <c r="C63" t="s">
        <v>217</v>
      </c>
      <c r="D63" s="46">
        <v>41123700003200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"/>
  <sheetViews>
    <sheetView showGridLines="0" zoomScale="75" zoomScaleNormal="75" workbookViewId="0">
      <selection activeCell="I5" sqref="I5"/>
    </sheetView>
  </sheetViews>
  <sheetFormatPr defaultColWidth="8.5703125" defaultRowHeight="15" x14ac:dyDescent="0.25"/>
  <cols>
    <col min="1" max="1" width="5.42578125" customWidth="1"/>
    <col min="2" max="2" width="17.42578125" customWidth="1"/>
    <col min="3" max="3" width="13.42578125" customWidth="1"/>
    <col min="4" max="4" width="17.7109375" customWidth="1"/>
    <col min="5" max="5" width="15.5703125" style="11" customWidth="1"/>
    <col min="6" max="6" width="15.42578125" style="11" customWidth="1"/>
    <col min="7" max="7" width="32.5703125" customWidth="1"/>
    <col min="8" max="8" width="15.5703125" customWidth="1"/>
    <col min="9" max="9" width="30.5703125" customWidth="1"/>
    <col min="10" max="10" width="29" customWidth="1"/>
    <col min="11" max="11" width="15" customWidth="1"/>
    <col min="12" max="12" width="16.28515625" customWidth="1"/>
    <col min="13" max="13" width="11.7109375" customWidth="1"/>
    <col min="14" max="14" width="24.42578125" customWidth="1"/>
    <col min="17" max="17" width="11.7109375" customWidth="1"/>
    <col min="20" max="20" width="10.85546875" customWidth="1"/>
  </cols>
  <sheetData>
    <row r="1" spans="1:17" ht="15.75" customHeight="1" x14ac:dyDescent="0.25">
      <c r="I1" s="47"/>
      <c r="M1" s="48"/>
      <c r="N1" s="48"/>
      <c r="O1" s="48"/>
      <c r="P1" s="48"/>
      <c r="Q1" s="48"/>
    </row>
    <row r="2" spans="1:17" ht="27" customHeight="1" x14ac:dyDescent="0.25">
      <c r="A2" s="49"/>
      <c r="B2" s="111" t="s">
        <v>218</v>
      </c>
      <c r="C2" s="111"/>
      <c r="D2" s="111"/>
      <c r="E2" s="111"/>
      <c r="F2" s="111"/>
      <c r="G2" s="111"/>
      <c r="H2" s="50"/>
      <c r="I2" s="112" t="s">
        <v>219</v>
      </c>
      <c r="J2" s="112"/>
      <c r="K2" s="112"/>
      <c r="L2" s="112"/>
      <c r="M2" s="48"/>
      <c r="N2" s="48"/>
      <c r="O2" s="51">
        <v>1</v>
      </c>
      <c r="P2" s="51">
        <v>1</v>
      </c>
      <c r="Q2" s="51" t="s">
        <v>220</v>
      </c>
    </row>
    <row r="3" spans="1:17" ht="45" customHeight="1" x14ac:dyDescent="0.25">
      <c r="A3" s="52"/>
      <c r="B3" s="53" t="s">
        <v>221</v>
      </c>
      <c r="C3" s="53" t="s">
        <v>222</v>
      </c>
      <c r="D3" s="53" t="s">
        <v>223</v>
      </c>
      <c r="E3" s="53" t="s">
        <v>224</v>
      </c>
      <c r="F3" s="53" t="s">
        <v>225</v>
      </c>
      <c r="G3" s="53" t="s">
        <v>226</v>
      </c>
      <c r="H3" s="50"/>
      <c r="I3" s="113" t="s">
        <v>227</v>
      </c>
      <c r="J3" s="113"/>
      <c r="K3" s="113"/>
      <c r="L3" s="113"/>
      <c r="M3" s="48"/>
      <c r="N3" s="48"/>
      <c r="O3" s="51">
        <v>2</v>
      </c>
      <c r="P3" s="51">
        <v>2</v>
      </c>
      <c r="Q3" s="51" t="s">
        <v>228</v>
      </c>
    </row>
    <row r="4" spans="1:17" ht="26.25" customHeight="1" x14ac:dyDescent="0.25">
      <c r="A4" s="49"/>
      <c r="B4" s="54" t="s">
        <v>229</v>
      </c>
      <c r="C4" s="55"/>
      <c r="D4" s="56">
        <f>ROUND(VALUE(C4)/E4,2)</f>
        <v>0</v>
      </c>
      <c r="E4" s="54">
        <v>30</v>
      </c>
      <c r="F4" s="54" t="s">
        <v>230</v>
      </c>
      <c r="G4" s="54" t="s">
        <v>231</v>
      </c>
      <c r="H4" s="50"/>
      <c r="I4" s="57" t="s">
        <v>232</v>
      </c>
      <c r="J4" s="50"/>
      <c r="K4" s="50"/>
      <c r="L4" s="50"/>
      <c r="M4" s="48"/>
      <c r="N4" s="48"/>
      <c r="O4" s="51">
        <v>3</v>
      </c>
      <c r="P4" s="51">
        <v>5</v>
      </c>
      <c r="Q4" s="51" t="s">
        <v>228</v>
      </c>
    </row>
    <row r="5" spans="1:17" ht="26.25" customHeight="1" x14ac:dyDescent="0.25">
      <c r="A5" s="58"/>
      <c r="B5" s="54" t="s">
        <v>233</v>
      </c>
      <c r="C5" s="55"/>
      <c r="D5" s="56">
        <f>ROUND(VALUE(C5)/3,2)</f>
        <v>0</v>
      </c>
      <c r="E5" s="54">
        <v>3</v>
      </c>
      <c r="F5" s="54" t="s">
        <v>234</v>
      </c>
      <c r="G5" s="54" t="s">
        <v>235</v>
      </c>
      <c r="H5" s="50"/>
      <c r="I5" s="59" t="e">
        <f>VLOOKUP(I4,#REF!,2,0)</f>
        <v>#REF!</v>
      </c>
      <c r="J5" s="60">
        <f>SUM(J13,G10)</f>
        <v>0</v>
      </c>
      <c r="K5" s="50"/>
      <c r="L5" s="50"/>
      <c r="M5" s="48"/>
      <c r="N5" s="48"/>
      <c r="O5" s="51">
        <v>6</v>
      </c>
      <c r="P5" s="51">
        <v>6</v>
      </c>
      <c r="Q5" s="51" t="s">
        <v>236</v>
      </c>
    </row>
    <row r="6" spans="1:17" x14ac:dyDescent="0.25">
      <c r="A6" s="61"/>
      <c r="B6" s="54" t="s">
        <v>237</v>
      </c>
      <c r="C6" s="55"/>
      <c r="D6" s="56">
        <f>ROUND(VALUE(C6)/6,2)</f>
        <v>0</v>
      </c>
      <c r="E6" s="54">
        <v>6</v>
      </c>
      <c r="F6" s="54" t="s">
        <v>234</v>
      </c>
      <c r="G6" s="54" t="s">
        <v>235</v>
      </c>
      <c r="H6" s="50"/>
      <c r="I6" s="50"/>
      <c r="J6" s="50"/>
      <c r="K6" s="50"/>
      <c r="L6" s="50"/>
      <c r="M6" s="48"/>
      <c r="N6" s="48"/>
      <c r="O6" s="51">
        <v>7</v>
      </c>
      <c r="P6" s="51">
        <v>12</v>
      </c>
      <c r="Q6" s="51" t="s">
        <v>232</v>
      </c>
    </row>
    <row r="7" spans="1:17" x14ac:dyDescent="0.25">
      <c r="A7" s="61"/>
      <c r="B7" s="54" t="s">
        <v>238</v>
      </c>
      <c r="C7" s="62"/>
      <c r="D7" s="56">
        <f>ROUND(VALUE(C7)/12,2)</f>
        <v>0</v>
      </c>
      <c r="E7" s="54">
        <v>12</v>
      </c>
      <c r="F7" s="54" t="s">
        <v>234</v>
      </c>
      <c r="G7" s="54" t="s">
        <v>235</v>
      </c>
      <c r="H7" s="50"/>
      <c r="I7" s="50"/>
      <c r="J7" s="50"/>
      <c r="K7" s="50"/>
      <c r="L7" s="50"/>
      <c r="M7" s="48"/>
      <c r="N7" s="48"/>
      <c r="O7" s="48"/>
      <c r="P7" s="48"/>
      <c r="Q7" s="48"/>
    </row>
    <row r="8" spans="1:17" x14ac:dyDescent="0.25">
      <c r="A8" s="63"/>
      <c r="B8" s="50"/>
      <c r="C8" s="50"/>
      <c r="D8" s="50"/>
      <c r="E8" s="63"/>
      <c r="F8" s="63"/>
      <c r="G8" s="50"/>
      <c r="H8" s="50"/>
      <c r="I8" s="50"/>
      <c r="J8" s="50"/>
      <c r="K8" s="50"/>
      <c r="L8" s="50"/>
      <c r="M8" s="48"/>
      <c r="N8" s="48"/>
      <c r="O8" s="48"/>
      <c r="P8" s="48"/>
      <c r="Q8" s="48"/>
    </row>
    <row r="9" spans="1:17" ht="45" customHeight="1" x14ac:dyDescent="0.25">
      <c r="A9" s="58"/>
      <c r="B9" s="64" t="s">
        <v>220</v>
      </c>
      <c r="C9" s="64" t="s">
        <v>239</v>
      </c>
      <c r="D9" s="64" t="s">
        <v>240</v>
      </c>
      <c r="E9" s="64" t="s">
        <v>241</v>
      </c>
      <c r="F9" s="64" t="s">
        <v>242</v>
      </c>
      <c r="G9" s="64" t="str">
        <f>IF(G10&gt;=0, "Devolução ao Cliente","Gerar Nota de Crédito")</f>
        <v>Devolução ao Cliente</v>
      </c>
      <c r="H9" s="50"/>
      <c r="J9" s="65"/>
      <c r="K9" s="65"/>
      <c r="L9" s="50"/>
      <c r="M9" s="48"/>
      <c r="N9" s="48"/>
      <c r="O9" s="48"/>
      <c r="P9" s="48"/>
      <c r="Q9" s="48"/>
    </row>
    <row r="10" spans="1:17" ht="16.350000000000001" customHeight="1" x14ac:dyDescent="0.25">
      <c r="A10" s="66"/>
      <c r="B10" s="67"/>
      <c r="C10" s="68"/>
      <c r="D10" s="68"/>
      <c r="E10" s="69" t="str">
        <f>IF(D10="","",IFERROR(D10-C10,""))</f>
        <v/>
      </c>
      <c r="F10" s="70" t="str">
        <f>IF(D10="","",IFERROR(D4*E10,""))</f>
        <v/>
      </c>
      <c r="G10" s="70" t="str">
        <f>IF(D10="","",IFERROR(C4-F10,""))</f>
        <v/>
      </c>
      <c r="H10" s="114"/>
      <c r="I10" s="114"/>
      <c r="J10" s="50"/>
      <c r="K10" s="50"/>
      <c r="L10" s="50"/>
      <c r="M10" s="48"/>
      <c r="N10" s="48"/>
      <c r="O10" s="48"/>
      <c r="P10" s="48"/>
      <c r="Q10" s="48"/>
    </row>
    <row r="11" spans="1:17" x14ac:dyDescent="0.25">
      <c r="A11" s="66"/>
      <c r="B11" s="50"/>
      <c r="C11" s="66"/>
      <c r="D11" s="71"/>
      <c r="E11" s="72"/>
      <c r="F11" s="73"/>
      <c r="G11" s="66"/>
      <c r="H11" s="74"/>
      <c r="I11" s="47"/>
      <c r="J11" s="74"/>
      <c r="K11" s="74"/>
      <c r="L11" s="75" t="s">
        <v>243</v>
      </c>
      <c r="M11" s="48"/>
      <c r="N11" s="48"/>
      <c r="O11" s="48"/>
      <c r="P11" s="48"/>
      <c r="Q11" s="48"/>
    </row>
    <row r="12" spans="1:17" ht="45" customHeight="1" x14ac:dyDescent="0.25">
      <c r="A12" s="76" t="str">
        <f>IF(A13=1,"Trimestral",IF(A13=2,"Semestral",IF(A13=3,"Anual","")))</f>
        <v/>
      </c>
      <c r="B12" s="64" t="s">
        <v>244</v>
      </c>
      <c r="C12" s="64" t="s">
        <v>245</v>
      </c>
      <c r="D12" s="77" t="s">
        <v>240</v>
      </c>
      <c r="E12" s="64" t="s">
        <v>246</v>
      </c>
      <c r="F12" s="64" t="s">
        <v>247</v>
      </c>
      <c r="G12" s="64" t="s">
        <v>248</v>
      </c>
      <c r="H12" s="64" t="s">
        <v>249</v>
      </c>
      <c r="I12" s="64" t="s">
        <v>250</v>
      </c>
      <c r="J12" s="64" t="str">
        <f>IF(IFERROR(IF(J13&lt;=0,"Valor a receber do cliente",IF(J13&gt;0,"Valor a devolver para o cliente")),"")=FALSE(),"",IFERROR(IF(J13&lt;=0,"Valor a receber do cliente",IF(J13&gt;0,"Valor a devolver para o cliente")),""))</f>
        <v>Valor a devolver para o cliente</v>
      </c>
      <c r="K12" s="50"/>
      <c r="L12" s="115" t="s">
        <v>251</v>
      </c>
      <c r="M12" s="115"/>
    </row>
    <row r="13" spans="1:17" ht="16.350000000000001" customHeight="1" x14ac:dyDescent="0.25">
      <c r="A13" s="51" t="str">
        <f>IFERROR(IF(I5=2,1,IF(I5=3,2,IF(I5=4,3))),"")</f>
        <v/>
      </c>
      <c r="B13" s="54" t="str">
        <f>A12</f>
        <v/>
      </c>
      <c r="C13" s="68">
        <v>45870</v>
      </c>
      <c r="D13" s="68">
        <v>46006</v>
      </c>
      <c r="E13" s="69">
        <f>IFERROR(IF(AND(C13="", D13=""), "", SUM(DATEDIF(C13,D13,"M")+1)),"")</f>
        <v>5</v>
      </c>
      <c r="F13" s="60" t="b">
        <f>IF(D13="","",IFERROR(IF(A12="TRIMESTRAL",C4-D5,IF(A12="SEMESTRAL",C4-D6,IF(A12="ANUAL",C4-D7))),""))</f>
        <v>0</v>
      </c>
      <c r="G13" s="60">
        <f>IFERROR(F13*E13,"")</f>
        <v>0</v>
      </c>
      <c r="H13" s="60" t="b">
        <f>IFERROR(IF(A12="TRIMESTRAL",D5*E13,IF(A12="SEMESTRAL",D6*E13,IF(A12="ANUAL",D7*E13))),"")</f>
        <v>0</v>
      </c>
      <c r="I13" s="78">
        <f>IFERROR(IF(L13="Não", 0, G13+H13),"")</f>
        <v>0</v>
      </c>
      <c r="J13" s="78" t="b">
        <f>IFERROR(IF(L13=2,IF(A12="trimestral",C5-H13,IF(A12="semestral",C6-H13,IF(A12="anual",C7-H13))),IF(A12="trimestral",C5-I13,IF(A12="semestral",C6-I13,IF(A12="anual",C7-I13)))),"")</f>
        <v>0</v>
      </c>
      <c r="K13" s="50"/>
      <c r="L13" s="108" t="str">
        <f>IFERROR(VLOOKUP(L11,#REF!,2,0),"")</f>
        <v/>
      </c>
      <c r="M13" s="108"/>
    </row>
    <row r="14" spans="1:17" ht="15" customHeight="1" x14ac:dyDescent="0.25">
      <c r="A14" s="63"/>
      <c r="B14" s="50"/>
      <c r="C14" s="50"/>
      <c r="D14" s="50"/>
      <c r="E14" s="63"/>
      <c r="F14" s="63"/>
      <c r="G14" s="50"/>
      <c r="H14" s="79"/>
      <c r="J14" s="109"/>
      <c r="K14" s="109"/>
      <c r="L14" s="109"/>
    </row>
    <row r="15" spans="1:17" x14ac:dyDescent="0.25">
      <c r="A15" s="63"/>
      <c r="B15" s="50"/>
      <c r="C15" s="50"/>
      <c r="D15" s="50"/>
      <c r="E15" s="63"/>
      <c r="F15" s="63"/>
      <c r="G15" s="50"/>
      <c r="H15" s="50"/>
      <c r="I15" s="50"/>
      <c r="J15" s="109"/>
      <c r="K15" s="109"/>
      <c r="L15" s="109"/>
    </row>
    <row r="16" spans="1:17" ht="15.75" customHeight="1" x14ac:dyDescent="0.25">
      <c r="A16" s="63"/>
      <c r="B16" s="50"/>
      <c r="C16" s="50"/>
      <c r="D16" s="50"/>
      <c r="E16" s="63"/>
      <c r="F16" s="63"/>
      <c r="G16" s="50"/>
      <c r="H16" s="50"/>
      <c r="I16" s="50"/>
      <c r="J16" s="50"/>
      <c r="K16" s="50"/>
      <c r="L16" s="50"/>
    </row>
    <row r="17" spans="1:14" ht="27" customHeight="1" x14ac:dyDescent="0.25">
      <c r="A17" s="58"/>
      <c r="B17" s="110" t="s">
        <v>252</v>
      </c>
      <c r="C17" s="110"/>
      <c r="D17" s="110"/>
      <c r="E17" s="110"/>
      <c r="F17" s="110"/>
      <c r="G17" s="110"/>
      <c r="H17" s="110"/>
      <c r="I17" s="110"/>
      <c r="J17" s="80"/>
      <c r="K17" s="81"/>
      <c r="L17" s="81"/>
    </row>
    <row r="18" spans="1:14" ht="45" customHeight="1" x14ac:dyDescent="0.25">
      <c r="A18" s="76" t="e">
        <f>IF(A19=1,"trimestral",IF(A19=2,"semestral",IF(A19=3,"anual","")))</f>
        <v>#REF!</v>
      </c>
      <c r="B18" s="53" t="s">
        <v>244</v>
      </c>
      <c r="C18" s="53" t="s">
        <v>245</v>
      </c>
      <c r="D18" s="53" t="s">
        <v>240</v>
      </c>
      <c r="E18" s="53" t="s">
        <v>253</v>
      </c>
      <c r="F18" s="53" t="s">
        <v>246</v>
      </c>
      <c r="G18" s="53" t="s">
        <v>254</v>
      </c>
      <c r="H18" s="53" t="s">
        <v>255</v>
      </c>
      <c r="I18" s="53" t="s">
        <v>256</v>
      </c>
      <c r="K18" s="82"/>
      <c r="L18" s="82"/>
    </row>
    <row r="19" spans="1:14" ht="16.350000000000001" customHeight="1" x14ac:dyDescent="0.25">
      <c r="A19" s="83" t="e">
        <f>VLOOKUP(A20,#REF!,3,0)</f>
        <v>#REF!</v>
      </c>
      <c r="B19" s="84"/>
      <c r="C19" s="85"/>
      <c r="D19" s="86"/>
      <c r="E19" s="87" t="e">
        <f>IF(A19=1,VLOOKUP("Trimestral",B4:C7,2,0),IF(A19=2,VLOOKUP("Semestral",B4:C7,2,0),IF(A19=3,VLOOKUP("Anual",B4:C7,2,0))))</f>
        <v>#REF!</v>
      </c>
      <c r="F19" s="88" t="str">
        <f>IFERROR(IF(AND(C19="", D19=""), "", SUM(DATEDIF(C19,D19,"M")+1)),"")</f>
        <v/>
      </c>
      <c r="G19" s="60" t="str">
        <f>IFERROR(IF(A18="TRIMESTRAL",C4-D5,IF(A18="SEMESTRAL",C4-D6,IF(A18="ANUAL",C4-D7))),"")</f>
        <v/>
      </c>
      <c r="H19" s="60" t="str">
        <f>IFERROR(G19*F19,"")</f>
        <v/>
      </c>
      <c r="I19" s="60" t="str">
        <f>IFERROR(IF(A18="TRIMESTRAL",D5*F19,IF(A18="SEMESTRAL",D6*F19,IF(A18="ANUAL",D7*F19))),"")</f>
        <v/>
      </c>
      <c r="K19" s="89"/>
      <c r="L19" s="90"/>
      <c r="M19" s="109"/>
      <c r="N19" s="109"/>
    </row>
    <row r="20" spans="1:14" x14ac:dyDescent="0.25">
      <c r="A20" t="s">
        <v>232</v>
      </c>
      <c r="D20" s="13"/>
    </row>
    <row r="21" spans="1:14" x14ac:dyDescent="0.25">
      <c r="D21" s="13"/>
    </row>
  </sheetData>
  <mergeCells count="9">
    <mergeCell ref="L13:M13"/>
    <mergeCell ref="J14:L15"/>
    <mergeCell ref="B17:I17"/>
    <mergeCell ref="M19:N19"/>
    <mergeCell ref="B2:G2"/>
    <mergeCell ref="I2:L2"/>
    <mergeCell ref="I3:L3"/>
    <mergeCell ref="H10:I10"/>
    <mergeCell ref="L12:M12"/>
  </mergeCells>
  <conditionalFormatting sqref="B9:G10 L17:N17 B17:I19 K18:N19">
    <cfRule type="expression" dxfId="8" priority="7">
      <formula>$I$5=4</formula>
    </cfRule>
    <cfRule type="expression" dxfId="7" priority="8">
      <formula>$I$5=2</formula>
    </cfRule>
    <cfRule type="expression" dxfId="6" priority="9">
      <formula>$I$5=3</formula>
    </cfRule>
  </conditionalFormatting>
  <conditionalFormatting sqref="H9 B9:G10 J9:J10 B11:J13 L12">
    <cfRule type="expression" dxfId="5" priority="6">
      <formula>$I$5=5</formula>
    </cfRule>
  </conditionalFormatting>
  <conditionalFormatting sqref="H10 B12:N13 B14:H14 J14 M14:N15 B15:I15 B16:N16 L17:N17 B17:I19 K18:N19">
    <cfRule type="expression" dxfId="4" priority="10">
      <formula>$I$5=1</formula>
    </cfRule>
  </conditionalFormatting>
  <conditionalFormatting sqref="H10">
    <cfRule type="expression" dxfId="3" priority="3">
      <formula>$I$5=4</formula>
    </cfRule>
    <cfRule type="expression" dxfId="2" priority="4">
      <formula>$I$5=3</formula>
    </cfRule>
    <cfRule type="expression" dxfId="1" priority="5">
      <formula>$I$5=2</formula>
    </cfRule>
  </conditionalFormatting>
  <conditionalFormatting sqref="L13">
    <cfRule type="expression" dxfId="0" priority="2">
      <formula>I5=5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</vt:lpstr>
      <vt:lpstr>TRANSACAO</vt:lpstr>
      <vt:lpstr>DADOSDR</vt:lpstr>
      <vt:lpstr>Planilha1</vt:lpstr>
      <vt:lpstr>Simulador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2025-10-15T13:51:17Z</dcterms:created>
  <dcterms:modified xsi:type="dcterms:W3CDTF">2025-12-05T11:52:58Z</dcterms:modified>
  <cp:category/>
  <cp:contentStatus/>
</cp:coreProperties>
</file>