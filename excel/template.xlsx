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25"/>
  <workbookPr filterPrivacy="1"/>
  <xr:revisionPtr revIDLastSave="0" documentId="8_{1E464098-5911-472D-B0E7-2DF9FA30BCC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APA" sheetId="3" r:id="rId1"/>
    <sheet name="TRANSACAO" sheetId="6" r:id="rId2"/>
    <sheet name="DADOSDR" sheetId="5" r:id="rId3"/>
    <sheet name="Simulador" sheetId="4" state="hidden" r:id="rId4"/>
  </sheets>
  <definedNames>
    <definedName name="_xlnm._FilterDatabas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4" l="1"/>
  <c r="A19" i="4"/>
  <c r="E19" i="4" s="1"/>
  <c r="A18" i="4"/>
  <c r="L13" i="4"/>
  <c r="E13" i="4"/>
  <c r="G10" i="4"/>
  <c r="F10" i="4"/>
  <c r="E10" i="4"/>
  <c r="G9" i="4"/>
  <c r="D7" i="4"/>
  <c r="D6" i="4"/>
  <c r="I5" i="4"/>
  <c r="A13" i="4" s="1"/>
  <c r="A12" i="4" s="1"/>
  <c r="D5" i="4"/>
  <c r="D4" i="4"/>
  <c r="B25" i="5"/>
  <c r="B24" i="5"/>
  <c r="B23" i="5"/>
  <c r="B22" i="5"/>
  <c r="B21" i="5"/>
  <c r="B20" i="5"/>
  <c r="B19" i="5"/>
  <c r="B18" i="5"/>
  <c r="B17" i="5"/>
  <c r="K8" i="5"/>
  <c r="J8" i="5"/>
  <c r="I8" i="5"/>
  <c r="H8" i="5"/>
  <c r="G8" i="5"/>
  <c r="F8" i="5"/>
  <c r="E8" i="5"/>
  <c r="D8" i="5"/>
  <c r="C8" i="5"/>
  <c r="B8" i="5"/>
  <c r="A8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4" i="5"/>
  <c r="H13" i="4" l="1"/>
  <c r="F13" i="4"/>
  <c r="G13" i="4" s="1"/>
  <c r="I13" i="4" s="1"/>
  <c r="J13" i="4" s="1"/>
  <c r="B13" i="4"/>
  <c r="I19" i="4"/>
  <c r="G19" i="4"/>
  <c r="H19" i="4" s="1"/>
  <c r="J12" i="4" l="1"/>
  <c r="J5" i="4"/>
</calcChain>
</file>

<file path=xl/sharedStrings.xml><?xml version="1.0" encoding="utf-8"?>
<sst xmlns="http://schemas.openxmlformats.org/spreadsheetml/2006/main" count="125" uniqueCount="103">
  <si>
    <t>PLANILHA PARA SOLICITAÇÃO DE CANCELAMENTO DE CARTÕES</t>
  </si>
  <si>
    <t>V- 26/1</t>
  </si>
  <si>
    <t>Resumo da solicitação de cancelamento cartão:</t>
  </si>
  <si>
    <t>Data envio solicitação</t>
  </si>
  <si>
    <t>Caixa</t>
  </si>
  <si>
    <t>Nro da Venda</t>
  </si>
  <si>
    <t>Nome Estabelecimento</t>
  </si>
  <si>
    <t>Cód. ESTABELECIMENTO</t>
  </si>
  <si>
    <t>Nome do Cliente</t>
  </si>
  <si>
    <t>CPF do Cliente</t>
  </si>
  <si>
    <t>Modalidade Cancelamento</t>
  </si>
  <si>
    <t>Número cartão a cancelar</t>
  </si>
  <si>
    <t>Valor transação do cartão</t>
  </si>
  <si>
    <t>Valor a cancelar no cartão</t>
  </si>
  <si>
    <t>d</t>
  </si>
  <si>
    <t>sitef antigo</t>
  </si>
  <si>
    <t>SESCNET</t>
  </si>
  <si>
    <t>SITEF novo</t>
  </si>
  <si>
    <t>CIELO</t>
  </si>
  <si>
    <t>DATA DA SOLICITAÇÃO  DE CANCELAMENTO PELA U0</t>
  </si>
  <si>
    <t>CX</t>
  </si>
  <si>
    <t>N° DA VENDA</t>
  </si>
  <si>
    <t>NOME DA UO</t>
  </si>
  <si>
    <t>NOME DO CLIENTE</t>
  </si>
  <si>
    <t>CPF CLIENTE</t>
  </si>
  <si>
    <t>DATA DA VENDA TRANSAÇÃO</t>
  </si>
  <si>
    <t>VALOR TOTAL DA VENDA</t>
  </si>
  <si>
    <t>VALOR DA TRANSAÇÃO FEITA NO CARTÃO</t>
  </si>
  <si>
    <t>QTE PARC</t>
  </si>
  <si>
    <t>BANDEIRA</t>
  </si>
  <si>
    <t>NSU</t>
  </si>
  <si>
    <t>CÓD AUT</t>
  </si>
  <si>
    <t>TID</t>
  </si>
  <si>
    <t xml:space="preserve">VALOR CANCELADO </t>
  </si>
  <si>
    <t>CANCELAMENTO STD</t>
  </si>
  <si>
    <t>EFETIVADO</t>
  </si>
  <si>
    <t>BANRI</t>
  </si>
  <si>
    <t>CPF DO CLIENTE</t>
  </si>
  <si>
    <t>VALOR DA TRANSAÇÃO E DO CANCELAMENTO</t>
  </si>
  <si>
    <t>NSU BERGS</t>
  </si>
  <si>
    <t>DATA DE ENVIO DE CANCELAMENTO</t>
  </si>
  <si>
    <t>DATA DA EFETIVAÇÃO DO CANCELAMENTO</t>
  </si>
  <si>
    <t>LANÇ SESC NET</t>
  </si>
  <si>
    <t>STATUS</t>
  </si>
  <si>
    <t>OBS</t>
  </si>
  <si>
    <t>INFORMAÇÕES PARA CANCELAMENTO VERO - PREENCHIMENTO AUTOMÁTICO</t>
  </si>
  <si>
    <t>ESTABELECIMENTO</t>
  </si>
  <si>
    <t>LOTE</t>
  </si>
  <si>
    <t>DT DEPÓSITO</t>
  </si>
  <si>
    <t>CARTÃO / XID</t>
  </si>
  <si>
    <t>DT VENDA</t>
  </si>
  <si>
    <t>VL VENDA</t>
  </si>
  <si>
    <t>VL CANCELAR</t>
  </si>
  <si>
    <t>AUT.</t>
  </si>
  <si>
    <t>MOTIVO</t>
  </si>
  <si>
    <t>CNPJ</t>
  </si>
  <si>
    <t>A pedido do cliente</t>
  </si>
  <si>
    <t>DATA DA VENDA</t>
  </si>
  <si>
    <t>VALOR DA VENDA</t>
  </si>
  <si>
    <t>VALOR CANCELAMENTO</t>
  </si>
  <si>
    <t>CÓDIGO LÓGICO</t>
  </si>
  <si>
    <t>Nº CARTÃO</t>
  </si>
  <si>
    <t>Nº PARCELAS</t>
  </si>
  <si>
    <t>TÍTULO</t>
  </si>
  <si>
    <t>CÁLCULO VENDAS CANCELADAS CARTÃO DE CREDITO - MENSAL/PLANOS</t>
  </si>
  <si>
    <t>***Somente os campos em amarelo devem ser preenchidos pela UO.</t>
  </si>
  <si>
    <t>MENSAL</t>
  </si>
  <si>
    <t>descrição</t>
  </si>
  <si>
    <t>valor</t>
  </si>
  <si>
    <t>valor mês/dia</t>
  </si>
  <si>
    <t>quantidade mês/dias</t>
  </si>
  <si>
    <t>multa</t>
  </si>
  <si>
    <t>cobrança</t>
  </si>
  <si>
    <t>Selecione, abaixo, a opção desejada.</t>
  </si>
  <si>
    <t>TRIMESTRAL</t>
  </si>
  <si>
    <t>Mensal</t>
  </si>
  <si>
    <t>não</t>
  </si>
  <si>
    <t>dias</t>
  </si>
  <si>
    <t>ANUAL</t>
  </si>
  <si>
    <t>Trimestral</t>
  </si>
  <si>
    <t>sim</t>
  </si>
  <si>
    <t>mês integral</t>
  </si>
  <si>
    <t>SEMESTRAL</t>
  </si>
  <si>
    <t>Semestral</t>
  </si>
  <si>
    <t>Anual</t>
  </si>
  <si>
    <t>data da venda</t>
  </si>
  <si>
    <t>Data do cancelamento</t>
  </si>
  <si>
    <t>Dias disponibilizados</t>
  </si>
  <si>
    <t>Valor dias disponibilizados</t>
  </si>
  <si>
    <t>SIM</t>
  </si>
  <si>
    <t>Plano (trimestral, semestral e anual)</t>
  </si>
  <si>
    <t>Data da venda</t>
  </si>
  <si>
    <t>Meses disponibilizados</t>
  </si>
  <si>
    <t>Multa mês</t>
  </si>
  <si>
    <t>Valor multa</t>
  </si>
  <si>
    <t>valor do serviço disponibilizado</t>
  </si>
  <si>
    <t>Valor serv. disponibilizado + multa</t>
  </si>
  <si>
    <t>O valor da multa será descontado do valor a devolver?</t>
  </si>
  <si>
    <t>CÁLCULO VENDAS CANCELADAS CARTÃO DE CRÉDITO - RECORRÊNCIA</t>
  </si>
  <si>
    <t>Valor do contrato</t>
  </si>
  <si>
    <t>Multa/mês</t>
  </si>
  <si>
    <t>Valor total multa</t>
  </si>
  <si>
    <t>Valor do serviço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</si>
</sst>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R$&quot;\ * #,##0.00_-;\-&quot;R$&quot;\ * #,##0.00_-;_-&quot;R$&quot;\ * &quot;-&quot;??_-;_-@_-"/>
    <numFmt numFmtId="165" formatCode="000.000.000\-00"/>
    <numFmt numFmtId="166" formatCode="&quot;R$&quot;\ #,##0.00"/>
    <numFmt numFmtId="167" formatCode="_-* #,##0.00_-;\-* #,##0.00_-;_-* &quot;-&quot;??_-;_-@_-"/>
    <numFmt numFmtId="168" formatCode="[$-F800]dddd\,\ mmmm\ dd\,\ yyyy"/>
    <numFmt numFmtId="169" formatCode="_-[$R$-416]\ * #,##0.00_-;\-[$R$-416]\ * #,##0.00_-;_-[$R$-416]\ * &quot;-&quot;??_-;_-@_-"/>
    <numFmt numFmtId="171" formatCode="dd/mm/yy;@"/>
  </numFmts>
  <fonts count="15">
    <font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Arial"/>
      <family val="2"/>
      <charset val="1"/>
    </font>
    <font>
      <sz val="11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CCFF"/>
        <bgColor rgb="FF33CCCC"/>
      </patternFill>
    </fill>
    <fill>
      <patternFill patternType="solid">
        <fgColor theme="0" tint="-0.249977111117893"/>
        <bgColor rgb="FF33CCCC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4" fillId="4" borderId="2" xfId="0" applyFont="1" applyFill="1" applyBorder="1"/>
    <xf numFmtId="14" fontId="0" fillId="0" borderId="2" xfId="0" applyNumberFormat="1" applyBorder="1" applyAlignment="1">
      <alignment horizontal="left"/>
    </xf>
    <xf numFmtId="1" fontId="0" fillId="0" borderId="2" xfId="0" applyNumberFormat="1" applyBorder="1" applyAlignment="1">
      <alignment horizontal="lef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/>
    </xf>
    <xf numFmtId="0" fontId="0" fillId="3" borderId="0" xfId="0" applyFill="1" applyAlignment="1">
      <alignment vertical="top" wrapText="1"/>
    </xf>
    <xf numFmtId="0" fontId="0" fillId="0" borderId="0" xfId="0" applyAlignment="1">
      <alignment vertical="top" wrapText="1"/>
    </xf>
    <xf numFmtId="164" fontId="0" fillId="0" borderId="2" xfId="0" applyNumberFormat="1" applyBorder="1" applyAlignment="1">
      <alignment horizontal="left"/>
    </xf>
    <xf numFmtId="0" fontId="4" fillId="5" borderId="2" xfId="0" applyFont="1" applyFill="1" applyBorder="1"/>
    <xf numFmtId="164" fontId="0" fillId="5" borderId="2" xfId="0" applyNumberForma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165" fontId="5" fillId="6" borderId="2" xfId="0" applyNumberFormat="1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166" fontId="5" fillId="6" borderId="2" xfId="0" applyNumberFormat="1" applyFont="1" applyFill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166" fontId="5" fillId="3" borderId="2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0" borderId="0" xfId="0" applyFont="1"/>
    <xf numFmtId="0" fontId="8" fillId="7" borderId="2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9" fillId="0" borderId="0" xfId="0" applyFont="1"/>
    <xf numFmtId="0" fontId="10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10" borderId="2" xfId="0" applyFont="1" applyFill="1" applyBorder="1" applyAlignment="1" applyProtection="1">
      <alignment horizontal="center" vertical="center"/>
      <protection locked="0"/>
    </xf>
    <xf numFmtId="164" fontId="4" fillId="0" borderId="2" xfId="0" applyNumberFormat="1" applyFont="1" applyBorder="1" applyAlignment="1">
      <alignment horizontal="center" vertical="center"/>
    </xf>
    <xf numFmtId="0" fontId="0" fillId="10" borderId="2" xfId="0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13" fillId="0" borderId="2" xfId="0" applyFon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>
      <alignment vertical="center"/>
    </xf>
    <xf numFmtId="0" fontId="0" fillId="0" borderId="6" xfId="0" applyBorder="1" applyAlignment="1">
      <alignment horizontal="center" vertical="center"/>
    </xf>
    <xf numFmtId="4" fontId="4" fillId="10" borderId="2" xfId="0" applyNumberFormat="1" applyFont="1" applyFill="1" applyBorder="1" applyAlignment="1" applyProtection="1">
      <alignment horizontal="center" vertical="center"/>
      <protection locked="0"/>
    </xf>
    <xf numFmtId="0" fontId="4" fillId="9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0" xfId="0" applyFont="1" applyBorder="1" applyAlignment="1">
      <alignment vertical="center"/>
    </xf>
    <xf numFmtId="14" fontId="0" fillId="10" borderId="2" xfId="0" applyNumberFormat="1" applyFill="1" applyBorder="1" applyAlignment="1" applyProtection="1">
      <alignment horizontal="center" vertical="center"/>
      <protection locked="0"/>
    </xf>
    <xf numFmtId="0" fontId="0" fillId="11" borderId="2" xfId="0" applyFill="1" applyBorder="1" applyAlignment="1">
      <alignment horizontal="center" vertical="center"/>
    </xf>
    <xf numFmtId="169" fontId="0" fillId="11" borderId="2" xfId="0" applyNumberFormat="1" applyFill="1" applyBorder="1" applyAlignment="1">
      <alignment vertical="center"/>
    </xf>
    <xf numFmtId="169" fontId="4" fillId="0" borderId="0" xfId="0" applyNumberFormat="1" applyFont="1" applyAlignment="1">
      <alignment horizontal="center" vertical="center"/>
    </xf>
    <xf numFmtId="14" fontId="4" fillId="0" borderId="10" xfId="0" applyNumberFormat="1" applyFont="1" applyBorder="1" applyAlignment="1">
      <alignment vertical="center"/>
    </xf>
    <xf numFmtId="14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14" fillId="0" borderId="0" xfId="0" applyFont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 wrapText="1"/>
    </xf>
    <xf numFmtId="164" fontId="0" fillId="11" borderId="2" xfId="0" applyNumberForma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0" fontId="12" fillId="0" borderId="0" xfId="0" applyFont="1" applyAlignment="1" applyProtection="1">
      <alignment horizontal="center" vertical="center"/>
      <protection locked="0"/>
    </xf>
    <xf numFmtId="0" fontId="4" fillId="10" borderId="4" xfId="0" applyFont="1" applyFill="1" applyBorder="1" applyAlignment="1" applyProtection="1">
      <alignment horizontal="center" vertical="center"/>
      <protection locked="0"/>
    </xf>
    <xf numFmtId="14" fontId="4" fillId="10" borderId="2" xfId="0" applyNumberFormat="1" applyFont="1" applyFill="1" applyBorder="1" applyAlignment="1" applyProtection="1">
      <alignment horizontal="center" vertical="center"/>
      <protection locked="0"/>
    </xf>
    <xf numFmtId="14" fontId="4" fillId="10" borderId="5" xfId="0" applyNumberFormat="1" applyFont="1" applyFill="1" applyBorder="1" applyAlignment="1" applyProtection="1">
      <alignment horizontal="center" vertical="center"/>
      <protection locked="0"/>
    </xf>
    <xf numFmtId="164" fontId="4" fillId="0" borderId="2" xfId="0" applyNumberFormat="1" applyFont="1" applyBorder="1" applyAlignment="1">
      <alignment vertical="center"/>
    </xf>
    <xf numFmtId="164" fontId="0" fillId="11" borderId="0" xfId="0" applyNumberFormat="1" applyFill="1" applyAlignment="1">
      <alignment vertical="center"/>
    </xf>
    <xf numFmtId="164" fontId="13" fillId="11" borderId="0" xfId="0" applyNumberFormat="1" applyFont="1" applyFill="1" applyAlignment="1">
      <alignment vertical="center"/>
    </xf>
    <xf numFmtId="0" fontId="0" fillId="11" borderId="0" xfId="0" applyFill="1"/>
    <xf numFmtId="0" fontId="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8" fontId="0" fillId="0" borderId="4" xfId="0" applyNumberFormat="1" applyBorder="1" applyAlignment="1">
      <alignment horizontal="center" vertical="center"/>
    </xf>
    <xf numFmtId="168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11" fillId="8" borderId="9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9" borderId="1" xfId="0" applyFont="1" applyFill="1" applyBorder="1" applyAlignment="1" applyProtection="1">
      <alignment horizontal="center" vertical="center" wrapText="1"/>
      <protection locked="0"/>
    </xf>
    <xf numFmtId="0" fontId="4" fillId="9" borderId="0" xfId="0" applyFont="1" applyFill="1" applyAlignment="1" applyProtection="1">
      <alignment horizontal="center" vertical="center" wrapText="1"/>
      <protection locked="0"/>
    </xf>
    <xf numFmtId="0" fontId="0" fillId="10" borderId="2" xfId="0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wrapText="1"/>
    </xf>
    <xf numFmtId="0" fontId="8" fillId="12" borderId="11" xfId="0" applyFont="1" applyFill="1" applyBorder="1" applyAlignment="1">
      <alignment horizontal="center"/>
    </xf>
    <xf numFmtId="0" fontId="8" fillId="13" borderId="11" xfId="0" applyFont="1" applyFill="1" applyBorder="1" applyAlignment="1">
      <alignment horizontal="center"/>
    </xf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171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12">
    <dxf>
      <font>
        <strike/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strike/>
        <color theme="0"/>
      </font>
      <fill>
        <patternFill>
          <bgColor theme="0"/>
        </patternFill>
      </fill>
    </dxf>
    <dxf>
      <font>
        <color theme="0" tint="-4.9989318521683403E-2"/>
      </font>
      <fill>
        <patternFill>
          <bgColor theme="4"/>
        </patternFill>
      </fill>
    </dxf>
    <dxf>
      <font>
        <color theme="0"/>
      </font>
      <fill>
        <patternFill>
          <bgColor theme="6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10589</xdr:colOff>
      <xdr:row>4</xdr:row>
      <xdr:rowOff>14104</xdr:rowOff>
    </xdr:from>
    <xdr:to>
      <xdr:col>3</xdr:col>
      <xdr:colOff>338674</xdr:colOff>
      <xdr:row>5</xdr:row>
      <xdr:rowOff>190495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Q32"/>
  <sheetViews>
    <sheetView showGridLines="0" showRowColHeaders="0" zoomScale="80" zoomScaleNormal="80" workbookViewId="0">
      <selection activeCell="D7" sqref="D7"/>
    </sheetView>
  </sheetViews>
  <sheetFormatPr defaultRowHeight="15"/>
  <cols>
    <col min="1" max="1" width="9.140625" customWidth="1"/>
    <col min="2" max="2" width="2.85546875" customWidth="1"/>
    <col min="3" max="3" width="2" customWidth="1"/>
    <col min="4" max="4" width="43" customWidth="1"/>
    <col min="5" max="5" width="35.85546875" style="1" customWidth="1"/>
    <col min="6" max="6" width="2" customWidth="1"/>
    <col min="7" max="7" width="2.85546875" customWidth="1"/>
    <col min="14" max="14" width="11.85546875" customWidth="1"/>
    <col min="15" max="15" width="3" customWidth="1"/>
    <col min="16" max="16" width="2" customWidth="1"/>
    <col min="17" max="17" width="2.85546875" customWidth="1"/>
  </cols>
  <sheetData>
    <row r="5" spans="2:17" ht="23.25" customHeight="1">
      <c r="B5" s="2"/>
      <c r="C5" s="2"/>
      <c r="D5" s="82" t="s">
        <v>0</v>
      </c>
      <c r="E5" s="82"/>
      <c r="F5" s="82"/>
      <c r="G5" s="82"/>
      <c r="H5" s="82"/>
      <c r="I5" s="82"/>
      <c r="J5" s="82"/>
      <c r="K5" s="82"/>
      <c r="L5" s="82"/>
      <c r="M5" s="82"/>
      <c r="N5" s="82"/>
      <c r="O5" s="3"/>
      <c r="P5" s="3"/>
      <c r="Q5" s="4"/>
    </row>
    <row r="6" spans="2:17">
      <c r="B6" s="2"/>
      <c r="C6" s="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3" t="s">
        <v>1</v>
      </c>
      <c r="P6" s="83"/>
      <c r="Q6" s="83"/>
    </row>
    <row r="7" spans="2:17" ht="13.5" customHeight="1">
      <c r="B7" s="2"/>
      <c r="Q7" s="4"/>
    </row>
    <row r="8" spans="2:17" ht="18.75" customHeight="1">
      <c r="B8" s="2"/>
      <c r="D8" s="84" t="s">
        <v>2</v>
      </c>
      <c r="E8" s="85"/>
      <c r="G8" s="4"/>
      <c r="H8" s="85"/>
      <c r="I8" s="85"/>
      <c r="J8" s="85"/>
      <c r="K8" s="85"/>
      <c r="L8" s="85"/>
      <c r="M8" s="85"/>
      <c r="N8" s="85"/>
      <c r="O8" s="5"/>
      <c r="Q8" s="4"/>
    </row>
    <row r="9" spans="2:17">
      <c r="B9" s="2"/>
      <c r="G9" s="4"/>
      <c r="O9" s="4"/>
      <c r="Q9" s="4"/>
    </row>
    <row r="10" spans="2:17">
      <c r="B10" s="2"/>
      <c r="D10" s="6" t="s">
        <v>3</v>
      </c>
      <c r="E10" s="7"/>
      <c r="G10" s="4"/>
      <c r="O10" s="4"/>
      <c r="Q10" s="4"/>
    </row>
    <row r="11" spans="2:17">
      <c r="B11" s="2"/>
      <c r="D11" s="6" t="s">
        <v>4</v>
      </c>
      <c r="E11" s="8"/>
      <c r="G11" s="4"/>
      <c r="O11" s="4"/>
      <c r="Q11" s="4"/>
    </row>
    <row r="12" spans="2:17">
      <c r="B12" s="2"/>
      <c r="D12" s="6" t="s">
        <v>5</v>
      </c>
      <c r="E12" s="8"/>
      <c r="G12" s="4"/>
      <c r="O12" s="4"/>
      <c r="Q12" s="4"/>
    </row>
    <row r="13" spans="2:17">
      <c r="B13" s="2"/>
      <c r="D13" s="6" t="s">
        <v>6</v>
      </c>
      <c r="E13" s="8"/>
      <c r="G13" s="4"/>
      <c r="O13" s="4"/>
      <c r="Q13" s="4"/>
    </row>
    <row r="14" spans="2:17">
      <c r="B14" s="2"/>
      <c r="D14" s="6" t="s">
        <v>7</v>
      </c>
      <c r="E14" s="8"/>
      <c r="G14" s="4"/>
      <c r="O14" s="4"/>
      <c r="Q14" s="4"/>
    </row>
    <row r="15" spans="2:17" ht="11.1" customHeight="1">
      <c r="B15" s="2"/>
      <c r="G15" s="4"/>
      <c r="O15" s="4"/>
      <c r="Q15" s="4"/>
    </row>
    <row r="16" spans="2:17">
      <c r="B16" s="2"/>
      <c r="D16" s="6" t="s">
        <v>8</v>
      </c>
      <c r="E16" s="8"/>
      <c r="G16" s="4"/>
      <c r="O16" s="4"/>
      <c r="Q16" s="4"/>
    </row>
    <row r="17" spans="2:17" ht="14.45" customHeight="1">
      <c r="B17" s="2"/>
      <c r="D17" s="6" t="s">
        <v>9</v>
      </c>
      <c r="E17" s="8"/>
      <c r="G17" s="9"/>
      <c r="H17" s="86"/>
      <c r="I17" s="86"/>
      <c r="J17" s="86"/>
      <c r="K17" s="86"/>
      <c r="L17" s="86"/>
      <c r="M17" s="86"/>
      <c r="N17" s="86"/>
      <c r="O17" s="11"/>
      <c r="P17" s="10"/>
      <c r="Q17" s="4"/>
    </row>
    <row r="18" spans="2:17" ht="11.1" customHeight="1">
      <c r="B18" s="2"/>
      <c r="E18" s="12"/>
      <c r="G18" s="13"/>
      <c r="H18" s="86"/>
      <c r="I18" s="86"/>
      <c r="J18" s="86"/>
      <c r="K18" s="86"/>
      <c r="L18" s="86"/>
      <c r="M18" s="86"/>
      <c r="N18" s="86"/>
      <c r="O18" s="11"/>
      <c r="P18" s="10"/>
      <c r="Q18" s="4"/>
    </row>
    <row r="19" spans="2:17">
      <c r="B19" s="2"/>
      <c r="D19" s="6" t="s">
        <v>10</v>
      </c>
      <c r="E19" s="12"/>
      <c r="G19" s="13"/>
      <c r="H19" s="13"/>
      <c r="I19" s="13"/>
      <c r="J19" s="13"/>
      <c r="K19" s="13"/>
      <c r="L19" s="13"/>
      <c r="M19" s="13"/>
      <c r="N19" s="13"/>
      <c r="O19" s="13"/>
      <c r="P19" s="10"/>
      <c r="Q19" s="4"/>
    </row>
    <row r="20" spans="2:17">
      <c r="B20" s="2"/>
      <c r="D20" s="6" t="s">
        <v>11</v>
      </c>
      <c r="E20" s="12"/>
      <c r="G20" s="14"/>
      <c r="H20" s="14"/>
      <c r="I20" s="14"/>
      <c r="J20" s="14"/>
      <c r="K20" s="14"/>
      <c r="L20" s="14"/>
      <c r="M20" s="14"/>
      <c r="N20" s="14"/>
      <c r="O20" s="14"/>
      <c r="P20" s="10"/>
      <c r="Q20" s="4"/>
    </row>
    <row r="21" spans="2:17" ht="11.1" customHeight="1">
      <c r="B21" s="2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4"/>
    </row>
    <row r="22" spans="2:17">
      <c r="B22" s="2"/>
      <c r="D22" s="6" t="s">
        <v>12</v>
      </c>
      <c r="E22" s="15"/>
      <c r="H22" s="14"/>
      <c r="I22" s="14"/>
      <c r="J22" s="14"/>
      <c r="K22" s="14"/>
      <c r="L22" s="14"/>
      <c r="M22" s="14"/>
      <c r="N22" s="14"/>
      <c r="O22" s="14"/>
      <c r="P22" s="14"/>
      <c r="Q22" s="4"/>
    </row>
    <row r="23" spans="2:17">
      <c r="B23" s="2"/>
      <c r="D23" s="16" t="s">
        <v>13</v>
      </c>
      <c r="E23" s="17"/>
      <c r="Q23" s="4"/>
    </row>
    <row r="24" spans="2:17" ht="8.1" customHeight="1">
      <c r="B24" s="2"/>
      <c r="Q24" s="4"/>
    </row>
    <row r="25" spans="2:17">
      <c r="B25" s="2"/>
      <c r="C25" s="2"/>
      <c r="D25" s="4"/>
      <c r="E25" s="18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32" spans="2:17">
      <c r="J32" t="s">
        <v>14</v>
      </c>
    </row>
  </sheetData>
  <mergeCells count="5">
    <mergeCell ref="D5:N6"/>
    <mergeCell ref="O6:Q6"/>
    <mergeCell ref="D8:E8"/>
    <mergeCell ref="H8:N8"/>
    <mergeCell ref="H17:N18"/>
  </mergeCells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81C3C-F46D-4D9A-9ECF-1F3A8C461B4D}">
  <dimension ref="C2:C8"/>
  <sheetViews>
    <sheetView tabSelected="1" workbookViewId="0">
      <selection activeCell="C6" sqref="C6"/>
    </sheetView>
  </sheetViews>
  <sheetFormatPr defaultRowHeight="15"/>
  <sheetData>
    <row r="2" spans="3:3">
      <c r="C2" t="s">
        <v>15</v>
      </c>
    </row>
    <row r="5" spans="3:3">
      <c r="C5" t="s">
        <v>16</v>
      </c>
    </row>
    <row r="8" spans="3:3">
      <c r="C8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T25"/>
  <sheetViews>
    <sheetView topLeftCell="I1" zoomScale="80" zoomScaleNormal="80" workbookViewId="0">
      <selection activeCell="L17" sqref="L17"/>
    </sheetView>
  </sheetViews>
  <sheetFormatPr defaultRowHeight="15"/>
  <cols>
    <col min="1" max="1" width="71.42578125" style="19" customWidth="1"/>
    <col min="2" max="2" width="23.140625" style="19" customWidth="1"/>
    <col min="3" max="3" width="15" style="19" customWidth="1"/>
    <col min="4" max="4" width="23.28515625" style="19" customWidth="1"/>
    <col min="5" max="5" width="19.7109375" style="19" customWidth="1"/>
    <col min="6" max="6" width="42.28515625" style="19" customWidth="1"/>
    <col min="7" max="7" width="27.5703125" style="19" customWidth="1"/>
    <col min="8" max="8" width="27.28515625" style="19" customWidth="1"/>
    <col min="9" max="9" width="38.7109375" style="19" customWidth="1"/>
    <col min="10" max="10" width="10.7109375" style="19" customWidth="1"/>
    <col min="11" max="11" width="39" style="19" customWidth="1"/>
    <col min="12" max="12" width="33.28515625" style="19" customWidth="1"/>
    <col min="13" max="13" width="39.5703125" style="19" customWidth="1"/>
    <col min="14" max="14" width="14.28515625" style="19" customWidth="1"/>
    <col min="15" max="15" width="34.140625" style="19" customWidth="1"/>
    <col min="16" max="16" width="24.85546875" style="19" customWidth="1"/>
    <col min="17" max="17" width="24.5703125" style="19" customWidth="1"/>
    <col min="18" max="18" width="26.140625" style="19" customWidth="1"/>
    <col min="19" max="19" width="19.7109375" style="19" customWidth="1"/>
    <col min="20" max="20" width="10.85546875" style="19" customWidth="1"/>
    <col min="21" max="21" width="9.140625" style="19" customWidth="1"/>
    <col min="22" max="16384" width="9.140625" style="19"/>
  </cols>
  <sheetData>
    <row r="2" spans="1:20">
      <c r="A2" s="87" t="s">
        <v>18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</row>
    <row r="3" spans="1:20" ht="30" customHeight="1">
      <c r="A3" s="20" t="s">
        <v>19</v>
      </c>
      <c r="B3" s="20" t="s">
        <v>20</v>
      </c>
      <c r="C3" s="20" t="s">
        <v>21</v>
      </c>
      <c r="D3" s="20" t="s">
        <v>22</v>
      </c>
      <c r="E3" s="20" t="s">
        <v>23</v>
      </c>
      <c r="F3" s="21" t="s">
        <v>24</v>
      </c>
      <c r="G3" s="22" t="s">
        <v>25</v>
      </c>
      <c r="H3" s="23" t="s">
        <v>26</v>
      </c>
      <c r="I3" s="23" t="s">
        <v>27</v>
      </c>
      <c r="J3" s="20" t="s">
        <v>28</v>
      </c>
      <c r="K3" s="20" t="s">
        <v>29</v>
      </c>
      <c r="L3" s="20" t="s">
        <v>30</v>
      </c>
      <c r="M3" s="20" t="s">
        <v>31</v>
      </c>
      <c r="N3" s="20" t="s">
        <v>32</v>
      </c>
      <c r="O3" s="23" t="s">
        <v>33</v>
      </c>
    </row>
    <row r="4" spans="1:20">
      <c r="A4" s="24" t="str">
        <f>IF(CAPA!E10="","",CAPA!E10)</f>
        <v/>
      </c>
      <c r="B4" s="25" t="str">
        <f>IF(CAPA!E11="","",CAPA!E11)</f>
        <v/>
      </c>
      <c r="C4" s="25" t="str">
        <f>IF(CAPA!E12="","",CAPA!E12)</f>
        <v/>
      </c>
      <c r="D4" s="25" t="str">
        <f>IF(CAPA!E13="","",CAPA!E13)</f>
        <v/>
      </c>
      <c r="E4" s="25" t="str">
        <f>IF(CAPA!E16="","",CAPA!E16)</f>
        <v/>
      </c>
      <c r="F4" s="25" t="str">
        <f>IF(CAPA!E17="","",CAPA!E17)</f>
        <v/>
      </c>
      <c r="G4" s="24" t="e">
        <f>IF(#REF!="","",#REF!)</f>
        <v>#REF!</v>
      </c>
      <c r="H4" s="26" t="e">
        <f>IF(#REF!="","",E8)</f>
        <v>#REF!</v>
      </c>
      <c r="I4" s="26" t="str">
        <f>IF(CAPA!E22="","",E22)</f>
        <v/>
      </c>
      <c r="J4" s="25" t="e">
        <f>IF(#REF!="","",M8)</f>
        <v>#REF!</v>
      </c>
      <c r="K4" s="27" t="e">
        <f>IF(#REF!="","",K8)</f>
        <v>#REF!</v>
      </c>
      <c r="L4" s="25" t="e">
        <f>IF(AND(#REF!="",#REF!="",),"",IF(#REF!&lt;&gt;"",G17,IF(#REF!&lt;&gt;"",F15,"")))</f>
        <v>#REF!</v>
      </c>
      <c r="M4" s="27" t="e">
        <f>IF(AND(#REF!="",#REF!=""),"",IF(#REF!&lt;&gt;"",N17,IF(#REF!&lt;&gt;"",P15,"")))</f>
        <v>#REF!</v>
      </c>
      <c r="N4" s="25" t="e">
        <f>IF(#REF!="","",#REF!)</f>
        <v>#REF!</v>
      </c>
      <c r="O4" s="27" t="str">
        <f>IF(CAPA!E23="","",E23)</f>
        <v/>
      </c>
      <c r="P4" s="28"/>
      <c r="Q4" s="29"/>
      <c r="R4" s="29"/>
      <c r="S4" s="19" t="s">
        <v>34</v>
      </c>
      <c r="T4" s="19" t="s">
        <v>35</v>
      </c>
    </row>
    <row r="5" spans="1:20">
      <c r="A5" s="29"/>
      <c r="B5" s="30"/>
      <c r="C5" s="30"/>
      <c r="D5" s="30"/>
      <c r="E5" s="30"/>
      <c r="F5" s="30"/>
      <c r="G5" s="29"/>
      <c r="H5" s="31"/>
      <c r="I5" s="31"/>
      <c r="J5" s="30"/>
      <c r="L5" s="30"/>
      <c r="N5" s="30"/>
      <c r="P5" s="28"/>
      <c r="Q5" s="29"/>
      <c r="R5" s="29"/>
    </row>
    <row r="6" spans="1:20">
      <c r="A6" s="88" t="s">
        <v>36</v>
      </c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</row>
    <row r="7" spans="1:20" ht="30" customHeight="1">
      <c r="A7" s="33" t="s">
        <v>21</v>
      </c>
      <c r="B7" s="34" t="s">
        <v>26</v>
      </c>
      <c r="C7" s="33" t="s">
        <v>37</v>
      </c>
      <c r="D7" s="33" t="s">
        <v>23</v>
      </c>
      <c r="E7" s="33" t="s">
        <v>22</v>
      </c>
      <c r="F7" s="34" t="s">
        <v>38</v>
      </c>
      <c r="G7" s="33" t="s">
        <v>28</v>
      </c>
      <c r="H7" s="33" t="s">
        <v>29</v>
      </c>
      <c r="I7" s="33" t="s">
        <v>30</v>
      </c>
      <c r="J7" s="35" t="s">
        <v>39</v>
      </c>
      <c r="K7" s="35" t="s">
        <v>32</v>
      </c>
      <c r="L7" s="33" t="s">
        <v>40</v>
      </c>
      <c r="M7" s="33" t="s">
        <v>41</v>
      </c>
      <c r="N7" s="33" t="s">
        <v>42</v>
      </c>
      <c r="O7" s="33" t="s">
        <v>43</v>
      </c>
      <c r="P7" s="33" t="s">
        <v>44</v>
      </c>
    </row>
    <row r="8" spans="1:20">
      <c r="A8" s="27" t="str">
        <f>IFERROR(#REF!,"")</f>
        <v/>
      </c>
      <c r="B8" s="27" t="str">
        <f>IFERROR(#REF!,"")</f>
        <v/>
      </c>
      <c r="C8" s="27" t="str">
        <f>IFERROR(#REF!,"")</f>
        <v/>
      </c>
      <c r="D8" s="27" t="str">
        <f>IFERROR(#REF!,"")</f>
        <v/>
      </c>
      <c r="E8" s="27" t="str">
        <f>IFERROR(#REF!,"")</f>
        <v/>
      </c>
      <c r="F8" s="27" t="str">
        <f>IFERROR(#REF!,"")</f>
        <v/>
      </c>
      <c r="G8" s="27" t="str">
        <f>IFERROR(IF(IF(#REF!&lt;&gt;"",#REF!,#REF!)=FALSE,"",IF(#REF!&lt;&gt;"",#REF!,#REF!)),"")</f>
        <v/>
      </c>
      <c r="H8" s="27" t="str">
        <f>IFERROR(#REF!,"")</f>
        <v/>
      </c>
      <c r="I8" s="27" t="str">
        <f>IFERROR(#REF!,"")</f>
        <v/>
      </c>
      <c r="J8" s="27" t="str">
        <f>IFERROR(#REF!,"")</f>
        <v/>
      </c>
      <c r="K8" s="27" t="str">
        <f>IFERROR(#REF!,"")</f>
        <v/>
      </c>
      <c r="L8" s="27"/>
      <c r="M8" s="27"/>
      <c r="N8" s="27"/>
      <c r="O8" s="27"/>
      <c r="P8" s="27"/>
    </row>
    <row r="10" spans="1:20">
      <c r="A10" s="36"/>
    </row>
    <row r="14" spans="1:20">
      <c r="O14" s="37"/>
    </row>
    <row r="16" spans="1:20">
      <c r="A16" s="89" t="s">
        <v>45</v>
      </c>
      <c r="B16" s="89"/>
      <c r="C16" s="89"/>
      <c r="E16" s="109" t="s">
        <v>46</v>
      </c>
      <c r="F16" s="110" t="s">
        <v>47</v>
      </c>
      <c r="G16" s="110" t="s">
        <v>48</v>
      </c>
      <c r="H16" s="110" t="s">
        <v>49</v>
      </c>
      <c r="I16" s="109" t="s">
        <v>50</v>
      </c>
      <c r="J16" s="109" t="s">
        <v>51</v>
      </c>
      <c r="K16" s="109" t="s">
        <v>52</v>
      </c>
      <c r="L16" s="109" t="s">
        <v>53</v>
      </c>
      <c r="M16" s="110" t="s">
        <v>54</v>
      </c>
    </row>
    <row r="17" spans="1:13">
      <c r="A17" s="38" t="s">
        <v>55</v>
      </c>
      <c r="B17" s="90" t="str">
        <f>IFERROR(VLOOKUP(#REF!,#REF!,2,0),"")</f>
        <v/>
      </c>
      <c r="C17" s="91"/>
      <c r="E17" s="111"/>
      <c r="F17" s="112"/>
      <c r="G17" s="113"/>
      <c r="H17" s="112"/>
      <c r="I17" s="113"/>
      <c r="J17" s="114"/>
      <c r="K17" s="115"/>
      <c r="L17" s="111"/>
      <c r="M17" s="112" t="s">
        <v>56</v>
      </c>
    </row>
    <row r="18" spans="1:13">
      <c r="A18" s="38" t="s">
        <v>57</v>
      </c>
      <c r="B18" s="92" t="str">
        <f>IFERROR(#REF!,"")</f>
        <v/>
      </c>
      <c r="C18" s="93"/>
    </row>
    <row r="19" spans="1:13">
      <c r="A19" s="38" t="s">
        <v>58</v>
      </c>
      <c r="B19" s="94" t="str">
        <f>IFERROR(#REF!,"")</f>
        <v/>
      </c>
      <c r="C19" s="95"/>
    </row>
    <row r="20" spans="1:13">
      <c r="A20" s="38" t="s">
        <v>59</v>
      </c>
      <c r="B20" s="90" t="e">
        <f>VALUE(#REF!)</f>
        <v>#REF!</v>
      </c>
      <c r="C20" s="91"/>
    </row>
    <row r="21" spans="1:13">
      <c r="A21" s="38" t="s">
        <v>39</v>
      </c>
      <c r="B21" s="90" t="str">
        <f>IFERROR(#REF!,"")</f>
        <v/>
      </c>
      <c r="C21" s="91"/>
    </row>
    <row r="22" spans="1:13">
      <c r="A22" s="38" t="s">
        <v>60</v>
      </c>
      <c r="B22" s="96" t="e">
        <f>#REF!</f>
        <v>#REF!</v>
      </c>
      <c r="C22" s="97"/>
    </row>
    <row r="23" spans="1:13">
      <c r="A23" s="38" t="s">
        <v>61</v>
      </c>
      <c r="B23" s="90" t="e">
        <f>#REF!</f>
        <v>#REF!</v>
      </c>
      <c r="C23" s="91"/>
    </row>
    <row r="24" spans="1:13">
      <c r="A24" s="38" t="s">
        <v>62</v>
      </c>
      <c r="B24" s="90" t="str">
        <f>IFERROR(IF(IF(#REF!&lt;&gt;"",#REF!,#REF!)=FALSE,"",IF(#REF!&lt;&gt;"",#REF!,#REF!)),"")</f>
        <v/>
      </c>
      <c r="C24" s="91"/>
    </row>
    <row r="25" spans="1:13">
      <c r="A25" s="38" t="s">
        <v>63</v>
      </c>
      <c r="B25" s="90" t="str">
        <f>IFERROR(#REF!,"")</f>
        <v/>
      </c>
      <c r="C25" s="91"/>
    </row>
  </sheetData>
  <mergeCells count="12">
    <mergeCell ref="B24:C24"/>
    <mergeCell ref="B25:C25"/>
    <mergeCell ref="B19:C19"/>
    <mergeCell ref="B20:C20"/>
    <mergeCell ref="B21:C21"/>
    <mergeCell ref="B22:C22"/>
    <mergeCell ref="B23:C23"/>
    <mergeCell ref="A2:T2"/>
    <mergeCell ref="A6:P6"/>
    <mergeCell ref="A16:C16"/>
    <mergeCell ref="B17:C17"/>
    <mergeCell ref="B18:C18"/>
  </mergeCells>
  <dataValidations count="4">
    <dataValidation type="custom" operator="greaterThan" allowBlank="1" showInputMessage="1" showErrorMessage="1" sqref="E17" xr:uid="{0EDC019D-39D9-40CA-8539-B750C427EA70}">
      <formula1>IF(0=LEN(SUBSTITUTE(SUBSTITUTE(SUBSTITUTE(SUBSTITUTE(SUBSTITUTE(SUBSTITUTE(SUBSTITUTE(SUBSTITUTE(SUBSTITUTE(SUBSTITUTE(E17,"9",""),"8",""),"7",""),"6",""),"5",""),"4",""),"3",""),"2",""),"1",""),"0","")),TRUE,FALSE)</formula1>
    </dataValidation>
    <dataValidation type="date" operator="greaterThan" allowBlank="1" showInputMessage="1" showErrorMessage="1" sqref="G17 I17" xr:uid="{F6708DC1-C930-49D2-B804-1D5E60714463}">
      <formula1>36526</formula1>
    </dataValidation>
    <dataValidation type="custom" allowBlank="1" showInputMessage="1" showErrorMessage="1" sqref="J17:K17" xr:uid="{3704BCD3-790B-4CC8-8F72-8E93201EC0E6}">
      <formula1>ISNUMBER(SUMPRODUCT(SEARCH(MID(J17,ROW(INDIRECT("1:"&amp;LEN(J17))),1),"0123456789,")))</formula1>
    </dataValidation>
    <dataValidation type="custom" allowBlank="1" showInputMessage="1" showErrorMessage="1" sqref="L17" xr:uid="{9D0D4B7B-3122-40B2-871A-DBEC9D9E2DB6}">
      <formula1>ISNUMBER(SUMPRODUCT(SEARCH(MID(L17,ROW(INDIRECT("1:"&amp;LEN(L17))),1),"0123456789abcdefghijklmnopqrstuvwxyzABCDEFGHIJKLMNOPQRSTUVWXYZ")))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200-000001000000}">
            <xm:f>NOT(ISERROR(SEARCH("VERDECARD",A7)))</xm:f>
            <x14:dxf>
              <font>
                <color theme="0"/>
              </font>
              <fill>
                <patternFill>
                  <bgColor theme="6" tint="-0.24994659260841701"/>
                </patternFill>
              </fill>
            </x14:dxf>
          </x14:cfRule>
          <x14:cfRule type="containsText" priority="2" operator="containsText" id="{00000000-000E-0000-0200-000002000000}">
            <xm:f>NOT(ISERROR(SEARCH("BANRICOMPRAS",A7)))</xm:f>
            <x14:dxf>
              <font>
                <color theme="0" tint="-4.9989318521683403E-2"/>
              </font>
              <fill>
                <patternFill>
                  <bgColor theme="4"/>
                </patternFill>
              </fill>
            </x14:dxf>
          </x14:cfRule>
          <xm:sqref>A7:P7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showGridLines="0" zoomScale="80" zoomScaleNormal="80" workbookViewId="0">
      <selection activeCell="I5" sqref="I5"/>
    </sheetView>
  </sheetViews>
  <sheetFormatPr defaultRowHeight="15"/>
  <cols>
    <col min="1" max="1" width="5.42578125" customWidth="1"/>
    <col min="2" max="2" width="17.42578125" customWidth="1"/>
    <col min="3" max="3" width="13.42578125" customWidth="1"/>
    <col min="4" max="4" width="17.7109375" customWidth="1"/>
    <col min="5" max="5" width="15.5703125" style="32" customWidth="1"/>
    <col min="6" max="6" width="15.42578125" style="32" customWidth="1"/>
    <col min="7" max="7" width="32.5703125" customWidth="1"/>
    <col min="8" max="8" width="15.5703125" customWidth="1"/>
    <col min="9" max="9" width="30.5703125" customWidth="1"/>
    <col min="10" max="10" width="29" customWidth="1"/>
    <col min="11" max="11" width="15" customWidth="1"/>
    <col min="12" max="12" width="16.28515625" customWidth="1"/>
    <col min="13" max="13" width="11.7109375" customWidth="1"/>
    <col min="14" max="14" width="24.42578125" customWidth="1"/>
    <col min="17" max="17" width="11.7109375" customWidth="1"/>
    <col min="20" max="20" width="10.85546875" customWidth="1"/>
  </cols>
  <sheetData>
    <row r="1" spans="1:17" ht="15.75" customHeight="1">
      <c r="I1" s="39"/>
      <c r="M1" s="40"/>
      <c r="N1" s="40"/>
      <c r="O1" s="40"/>
      <c r="P1" s="40"/>
      <c r="Q1" s="40"/>
    </row>
    <row r="2" spans="1:17" ht="27" customHeight="1">
      <c r="A2" s="41"/>
      <c r="B2" s="98" t="s">
        <v>64</v>
      </c>
      <c r="C2" s="99"/>
      <c r="D2" s="99"/>
      <c r="E2" s="99"/>
      <c r="F2" s="99"/>
      <c r="G2" s="100"/>
      <c r="H2" s="42"/>
      <c r="I2" s="101" t="s">
        <v>65</v>
      </c>
      <c r="J2" s="101"/>
      <c r="K2" s="101"/>
      <c r="L2" s="101"/>
      <c r="M2" s="40"/>
      <c r="N2" s="40"/>
      <c r="O2" s="43">
        <v>1</v>
      </c>
      <c r="P2" s="43">
        <v>1</v>
      </c>
      <c r="Q2" s="43" t="s">
        <v>66</v>
      </c>
    </row>
    <row r="3" spans="1:17" ht="45" customHeight="1">
      <c r="A3" s="44"/>
      <c r="B3" s="45" t="s">
        <v>67</v>
      </c>
      <c r="C3" s="45" t="s">
        <v>68</v>
      </c>
      <c r="D3" s="45" t="s">
        <v>69</v>
      </c>
      <c r="E3" s="45" t="s">
        <v>70</v>
      </c>
      <c r="F3" s="45" t="s">
        <v>71</v>
      </c>
      <c r="G3" s="45" t="s">
        <v>72</v>
      </c>
      <c r="H3" s="42"/>
      <c r="I3" s="102" t="s">
        <v>73</v>
      </c>
      <c r="J3" s="102"/>
      <c r="K3" s="102"/>
      <c r="L3" s="102"/>
      <c r="M3" s="40"/>
      <c r="N3" s="40"/>
      <c r="O3" s="43">
        <v>2</v>
      </c>
      <c r="P3" s="43">
        <v>2</v>
      </c>
      <c r="Q3" s="43" t="s">
        <v>74</v>
      </c>
    </row>
    <row r="4" spans="1:17" ht="26.25" customHeight="1">
      <c r="A4" s="41"/>
      <c r="B4" s="46" t="s">
        <v>75</v>
      </c>
      <c r="C4" s="47"/>
      <c r="D4" s="48">
        <f>ROUND(VALUE(C4)/E4,2)</f>
        <v>0</v>
      </c>
      <c r="E4" s="46">
        <v>30</v>
      </c>
      <c r="F4" s="46" t="s">
        <v>76</v>
      </c>
      <c r="G4" s="46" t="s">
        <v>77</v>
      </c>
      <c r="H4" s="42"/>
      <c r="I4" s="49" t="s">
        <v>78</v>
      </c>
      <c r="J4" s="42"/>
      <c r="K4" s="42"/>
      <c r="L4" s="42"/>
      <c r="M4" s="40"/>
      <c r="N4" s="40"/>
      <c r="O4" s="43">
        <v>3</v>
      </c>
      <c r="P4" s="43">
        <v>5</v>
      </c>
      <c r="Q4" s="43" t="s">
        <v>74</v>
      </c>
    </row>
    <row r="5" spans="1:17" ht="26.25" customHeight="1">
      <c r="A5" s="50"/>
      <c r="B5" s="46" t="s">
        <v>79</v>
      </c>
      <c r="C5" s="47"/>
      <c r="D5" s="48">
        <f>ROUND(VALUE(C5)/3,2)</f>
        <v>0</v>
      </c>
      <c r="E5" s="46">
        <v>3</v>
      </c>
      <c r="F5" s="46" t="s">
        <v>80</v>
      </c>
      <c r="G5" s="46" t="s">
        <v>81</v>
      </c>
      <c r="H5" s="42"/>
      <c r="I5" s="51" t="e">
        <f>VLOOKUP(I4,#REF!,2,0)</f>
        <v>#REF!</v>
      </c>
      <c r="J5" s="52">
        <f>SUM(J13,G10)</f>
        <v>0</v>
      </c>
      <c r="K5" s="42"/>
      <c r="L5" s="42"/>
      <c r="M5" s="40"/>
      <c r="N5" s="40"/>
      <c r="O5" s="43">
        <v>6</v>
      </c>
      <c r="P5" s="43">
        <v>6</v>
      </c>
      <c r="Q5" s="43" t="s">
        <v>82</v>
      </c>
    </row>
    <row r="6" spans="1:17">
      <c r="A6" s="53"/>
      <c r="B6" s="46" t="s">
        <v>83</v>
      </c>
      <c r="C6" s="47"/>
      <c r="D6" s="48">
        <f>ROUND(VALUE(C6)/6,2)</f>
        <v>0</v>
      </c>
      <c r="E6" s="46">
        <v>6</v>
      </c>
      <c r="F6" s="46" t="s">
        <v>80</v>
      </c>
      <c r="G6" s="46" t="s">
        <v>81</v>
      </c>
      <c r="H6" s="42"/>
      <c r="I6" s="42"/>
      <c r="J6" s="42"/>
      <c r="K6" s="42"/>
      <c r="L6" s="42"/>
      <c r="M6" s="40"/>
      <c r="N6" s="40"/>
      <c r="O6" s="43">
        <v>7</v>
      </c>
      <c r="P6" s="43">
        <v>12</v>
      </c>
      <c r="Q6" s="43" t="s">
        <v>78</v>
      </c>
    </row>
    <row r="7" spans="1:17">
      <c r="A7" s="53"/>
      <c r="B7" s="46" t="s">
        <v>84</v>
      </c>
      <c r="C7" s="54"/>
      <c r="D7" s="48">
        <f>ROUND(VALUE(C7)/12,2)</f>
        <v>0</v>
      </c>
      <c r="E7" s="46">
        <v>12</v>
      </c>
      <c r="F7" s="46" t="s">
        <v>80</v>
      </c>
      <c r="G7" s="46" t="s">
        <v>81</v>
      </c>
      <c r="H7" s="42"/>
      <c r="I7" s="42"/>
      <c r="J7" s="42"/>
      <c r="K7" s="42"/>
      <c r="L7" s="42"/>
      <c r="M7" s="40"/>
      <c r="N7" s="40"/>
      <c r="O7" s="40"/>
      <c r="P7" s="40"/>
      <c r="Q7" s="40"/>
    </row>
    <row r="8" spans="1:17">
      <c r="A8" s="19"/>
      <c r="B8" s="42"/>
      <c r="C8" s="42"/>
      <c r="D8" s="42"/>
      <c r="E8" s="19"/>
      <c r="F8" s="19"/>
      <c r="G8" s="42"/>
      <c r="H8" s="42"/>
      <c r="I8" s="42"/>
      <c r="J8" s="42"/>
      <c r="K8" s="42"/>
      <c r="L8" s="42"/>
      <c r="M8" s="40"/>
      <c r="N8" s="40"/>
      <c r="O8" s="40"/>
      <c r="P8" s="40"/>
      <c r="Q8" s="40"/>
    </row>
    <row r="9" spans="1:17" ht="45" customHeight="1">
      <c r="A9" s="50"/>
      <c r="B9" s="55" t="s">
        <v>66</v>
      </c>
      <c r="C9" s="55" t="s">
        <v>85</v>
      </c>
      <c r="D9" s="55" t="s">
        <v>86</v>
      </c>
      <c r="E9" s="55" t="s">
        <v>87</v>
      </c>
      <c r="F9" s="55" t="s">
        <v>88</v>
      </c>
      <c r="G9" s="55" t="str">
        <f>IF(G10&gt;=0, "Devolução ao Cliente","Gerar Nota de Crédito")</f>
        <v>Devolução ao Cliente</v>
      </c>
      <c r="H9" s="42"/>
      <c r="J9" s="56"/>
      <c r="K9" s="56"/>
      <c r="L9" s="42"/>
      <c r="M9" s="40"/>
      <c r="N9" s="40"/>
      <c r="O9" s="40"/>
      <c r="P9" s="40"/>
      <c r="Q9" s="40"/>
    </row>
    <row r="10" spans="1:17">
      <c r="A10" s="57"/>
      <c r="B10" s="58"/>
      <c r="C10" s="59"/>
      <c r="D10" s="59"/>
      <c r="E10" s="60" t="str">
        <f>IF(D10="","",IFERROR(D10-C10,""))</f>
        <v/>
      </c>
      <c r="F10" s="61" t="str">
        <f>IF(D10="","",IFERROR(D4*E10,""))</f>
        <v/>
      </c>
      <c r="G10" s="61" t="str">
        <f>IF(D10="","",IFERROR(C4-F10,""))</f>
        <v/>
      </c>
      <c r="H10" s="103"/>
      <c r="I10" s="104"/>
      <c r="J10" s="42"/>
      <c r="K10" s="42"/>
      <c r="L10" s="42"/>
      <c r="M10" s="40"/>
      <c r="N10" s="40"/>
      <c r="O10" s="40"/>
      <c r="P10" s="40"/>
      <c r="Q10" s="40"/>
    </row>
    <row r="11" spans="1:17">
      <c r="A11" s="57"/>
      <c r="B11" s="42"/>
      <c r="C11" s="57"/>
      <c r="D11" s="62"/>
      <c r="E11" s="63"/>
      <c r="F11" s="64"/>
      <c r="G11" s="57"/>
      <c r="H11" s="65"/>
      <c r="I11" s="39"/>
      <c r="J11" s="65"/>
      <c r="K11" s="65"/>
      <c r="L11" s="66" t="s">
        <v>89</v>
      </c>
      <c r="M11" s="40"/>
      <c r="N11" s="40"/>
      <c r="O11" s="40"/>
      <c r="P11" s="40"/>
      <c r="Q11" s="40"/>
    </row>
    <row r="12" spans="1:17" ht="45" customHeight="1">
      <c r="A12" s="67" t="str">
        <f>IF(A13=1,"Trimestral",IF(A13=2,"Semestral",IF(A13=3,"Anual","")))</f>
        <v/>
      </c>
      <c r="B12" s="55" t="s">
        <v>90</v>
      </c>
      <c r="C12" s="55" t="s">
        <v>91</v>
      </c>
      <c r="D12" s="68" t="s">
        <v>86</v>
      </c>
      <c r="E12" s="55" t="s">
        <v>92</v>
      </c>
      <c r="F12" s="55" t="s">
        <v>93</v>
      </c>
      <c r="G12" s="55" t="s">
        <v>94</v>
      </c>
      <c r="H12" s="55" t="s">
        <v>95</v>
      </c>
      <c r="I12" s="55" t="s">
        <v>96</v>
      </c>
      <c r="J12" s="55" t="str">
        <f>IF(IFERROR(IF(J13&lt;=0,"Valor a receber do cliente",IF(J13&gt;0,"Valor a devolver para o cliente")),"")=FALSE,"",IFERROR(IF(J13&lt;=0,"Valor a receber do cliente",IF(J13&gt;0,"Valor a devolver para o cliente")),""))</f>
        <v>Valor a devolver para o cliente</v>
      </c>
      <c r="K12" s="42"/>
      <c r="L12" s="105" t="s">
        <v>97</v>
      </c>
      <c r="M12" s="106"/>
    </row>
    <row r="13" spans="1:17">
      <c r="A13" s="43" t="str">
        <f>IFERROR(IF(I5=2,1,IF(I5=3,2,IF(I5=4,3))),"")</f>
        <v/>
      </c>
      <c r="B13" s="46" t="str">
        <f>A12</f>
        <v/>
      </c>
      <c r="C13" s="59">
        <v>45870</v>
      </c>
      <c r="D13" s="59">
        <v>46006</v>
      </c>
      <c r="E13" s="60">
        <f>IFERROR(IF(AND(C13="", D13=""), "", SUM(DATEDIF(C13,D13,"M")+1)),"")</f>
        <v>5</v>
      </c>
      <c r="F13" s="52" t="b">
        <f>IF(D13="","",IFERROR(IF(A12="TRIMESTRAL",C4-D5,IF(A12="SEMESTRAL",C4-D6,IF(A12="ANUAL",C4-D7))),""))</f>
        <v>0</v>
      </c>
      <c r="G13" s="52">
        <f>IFERROR(F13*E13,"")</f>
        <v>0</v>
      </c>
      <c r="H13" s="52" t="b">
        <f>IFERROR(IF(A12="TRIMESTRAL",D5*E13,IF(A12="SEMESTRAL",D6*E13,IF(A12="ANUAL",D7*E13))),"")</f>
        <v>0</v>
      </c>
      <c r="I13" s="69">
        <f>IFERROR(IF(L13="Não", 0, G13+H13),"")</f>
        <v>0</v>
      </c>
      <c r="J13" s="69" t="b">
        <f>IFERROR(IF(L13=2,IF(A12="trimestral",C5-H13,IF(A12="semestral",C6-H13,IF(A12="anual",C7-H13))),IF(A12="trimestral",C5-I13,IF(A12="semestral",C6-I13,IF(A12="anual",C7-I13)))),"")</f>
        <v>0</v>
      </c>
      <c r="K13" s="42"/>
      <c r="L13" s="107" t="str">
        <f>IFERROR(VLOOKUP(L11,#REF!,2,0),"")</f>
        <v/>
      </c>
      <c r="M13" s="107"/>
    </row>
    <row r="14" spans="1:17" ht="15" customHeight="1">
      <c r="A14" s="19"/>
      <c r="B14" s="42"/>
      <c r="C14" s="42"/>
      <c r="D14" s="42"/>
      <c r="E14" s="19"/>
      <c r="F14" s="19"/>
      <c r="G14" s="42"/>
      <c r="H14" s="70"/>
      <c r="J14" s="108"/>
      <c r="K14" s="108"/>
      <c r="L14" s="108"/>
    </row>
    <row r="15" spans="1:17">
      <c r="A15" s="19"/>
      <c r="B15" s="42"/>
      <c r="C15" s="42"/>
      <c r="D15" s="42"/>
      <c r="E15" s="19"/>
      <c r="F15" s="19"/>
      <c r="G15" s="42"/>
      <c r="H15" s="42"/>
      <c r="I15" s="42"/>
      <c r="J15" s="108"/>
      <c r="K15" s="108"/>
      <c r="L15" s="108"/>
    </row>
    <row r="16" spans="1:17" ht="15.75" customHeight="1">
      <c r="A16" s="19"/>
      <c r="B16" s="42"/>
      <c r="C16" s="42"/>
      <c r="D16" s="42"/>
      <c r="E16" s="19"/>
      <c r="F16" s="19"/>
      <c r="G16" s="42"/>
      <c r="H16" s="42"/>
      <c r="I16" s="42"/>
      <c r="J16" s="42"/>
      <c r="K16" s="42"/>
      <c r="L16" s="42"/>
    </row>
    <row r="17" spans="1:14" ht="27" customHeight="1">
      <c r="A17" s="50"/>
      <c r="B17" s="98" t="s">
        <v>98</v>
      </c>
      <c r="C17" s="99"/>
      <c r="D17" s="99"/>
      <c r="E17" s="99"/>
      <c r="F17" s="99"/>
      <c r="G17" s="99"/>
      <c r="H17" s="99"/>
      <c r="I17" s="99"/>
      <c r="J17" s="71"/>
      <c r="K17" s="72"/>
      <c r="L17" s="72"/>
    </row>
    <row r="18" spans="1:14" ht="45" customHeight="1">
      <c r="A18" s="67" t="e">
        <f>IF(A19=1,"trimestral",IF(A19=2,"semestral",IF(A19=3,"anual","")))</f>
        <v>#REF!</v>
      </c>
      <c r="B18" s="45" t="s">
        <v>90</v>
      </c>
      <c r="C18" s="45" t="s">
        <v>91</v>
      </c>
      <c r="D18" s="45" t="s">
        <v>86</v>
      </c>
      <c r="E18" s="45" t="s">
        <v>99</v>
      </c>
      <c r="F18" s="45" t="s">
        <v>92</v>
      </c>
      <c r="G18" s="45" t="s">
        <v>100</v>
      </c>
      <c r="H18" s="45" t="s">
        <v>101</v>
      </c>
      <c r="I18" s="45" t="s">
        <v>102</v>
      </c>
      <c r="K18" s="73"/>
      <c r="L18" s="73"/>
    </row>
    <row r="19" spans="1:14">
      <c r="A19" s="74" t="e">
        <f>VLOOKUP(A20,#REF!,3,0)</f>
        <v>#REF!</v>
      </c>
      <c r="B19" s="75"/>
      <c r="C19" s="76"/>
      <c r="D19" s="77"/>
      <c r="E19" s="78" t="e">
        <f>IF(A19=1,VLOOKUP("Trimestral",B4:C7,2,0),IF(A19=2,VLOOKUP("Semestral",B4:C7,2,0),IF(A19=3,VLOOKUP("Anual",B4:C7,2,0))))</f>
        <v>#REF!</v>
      </c>
      <c r="F19" s="27" t="str">
        <f>IFERROR(IF(AND(C19="", D19=""), "", SUM(DATEDIF(C19,D19,"M")+1)),"")</f>
        <v/>
      </c>
      <c r="G19" s="52" t="str">
        <f>IFERROR(IF(A18="TRIMESTRAL",C4-D5,IF(A18="SEMESTRAL",C4-D6,IF(A18="ANUAL",C4-D7))),"")</f>
        <v/>
      </c>
      <c r="H19" s="52" t="str">
        <f>IFERROR(G19*F19,"")</f>
        <v/>
      </c>
      <c r="I19" s="52" t="str">
        <f>IFERROR(IF(A18="TRIMESTRAL",D5*F19,IF(A18="SEMESTRAL",D6*F19,IF(A18="ANUAL",D7*F19))),"")</f>
        <v/>
      </c>
      <c r="K19" s="79"/>
      <c r="L19" s="80"/>
      <c r="M19" s="108"/>
      <c r="N19" s="108"/>
    </row>
    <row r="20" spans="1:14">
      <c r="A20" t="s">
        <v>78</v>
      </c>
      <c r="D20" s="81"/>
    </row>
    <row r="21" spans="1:14">
      <c r="D21" s="81"/>
    </row>
  </sheetData>
  <mergeCells count="9">
    <mergeCell ref="L13:M13"/>
    <mergeCell ref="J14:L15"/>
    <mergeCell ref="B17:I17"/>
    <mergeCell ref="M19:N19"/>
    <mergeCell ref="B2:G2"/>
    <mergeCell ref="I2:L2"/>
    <mergeCell ref="I3:L3"/>
    <mergeCell ref="H10:I10"/>
    <mergeCell ref="L12:M12"/>
  </mergeCells>
  <conditionalFormatting sqref="B16:N16 B14:H14 J14 L17:N17 K18:N19 B12:N13 B15:I15 M14:N15 B17:I19">
    <cfRule type="expression" dxfId="9" priority="10">
      <formula>$I$5=1</formula>
    </cfRule>
  </conditionalFormatting>
  <conditionalFormatting sqref="L17:N17 K18:N19 B17:I19 B9:G10">
    <cfRule type="expression" dxfId="8" priority="7">
      <formula>$I$5=4</formula>
    </cfRule>
    <cfRule type="expression" dxfId="7" priority="9">
      <formula>$I$5=2</formula>
    </cfRule>
  </conditionalFormatting>
  <conditionalFormatting sqref="H9 B11:J13 J9:J10 L12 B9:G10">
    <cfRule type="expression" dxfId="6" priority="6">
      <formula>$I$5=5</formula>
    </cfRule>
  </conditionalFormatting>
  <conditionalFormatting sqref="H10">
    <cfRule type="expression" dxfId="5" priority="5">
      <formula>$I$5=1</formula>
    </cfRule>
  </conditionalFormatting>
  <conditionalFormatting sqref="H10">
    <cfRule type="expression" dxfId="4" priority="2">
      <formula>$I$5=4</formula>
    </cfRule>
    <cfRule type="expression" dxfId="3" priority="3">
      <formula>$I$5=3</formula>
    </cfRule>
    <cfRule type="expression" dxfId="2" priority="4">
      <formula>$I$5=2</formula>
    </cfRule>
  </conditionalFormatting>
  <conditionalFormatting sqref="L13">
    <cfRule type="expression" dxfId="1" priority="1">
      <formula>I5=5</formula>
    </cfRule>
  </conditionalFormatting>
  <conditionalFormatting sqref="L17:N17 K18:N19 B17:I19 B9:G10">
    <cfRule type="expression" dxfId="0" priority="8">
      <formula>$I$5=3</formula>
    </cfRule>
  </conditionalFormatting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Gino Baratieri</dc:creator>
  <cp:keywords/>
  <dc:description/>
  <cp:lastModifiedBy/>
  <cp:revision/>
  <dcterms:created xsi:type="dcterms:W3CDTF">2025-10-15T13:51:17Z</dcterms:created>
  <dcterms:modified xsi:type="dcterms:W3CDTF">2025-12-03T02:43:19Z</dcterms:modified>
  <cp:category/>
  <cp:contentStatus/>
</cp:coreProperties>
</file>