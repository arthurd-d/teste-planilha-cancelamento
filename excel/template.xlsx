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S:\NEF\FINANC\ARTHUR DAHMER\"/>
    </mc:Choice>
  </mc:AlternateContent>
  <xr:revisionPtr revIDLastSave="0" documentId="8_{A0DC6BF7-EFD0-438F-B238-AE5F885AD8A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PA" sheetId="3" r:id="rId1"/>
    <sheet name="INTRUÇÕES" sheetId="6" r:id="rId2"/>
    <sheet name="Dados DR" sheetId="5" r:id="rId3"/>
    <sheet name="Simulador" sheetId="4" state="hidden" r:id="rId4"/>
    <sheet name="LOJAS" sheetId="2" r:id="rId5"/>
    <sheet name="DADOS" sheetId="1" r:id="rId6"/>
  </sheets>
  <definedNames>
    <definedName name="_xlnm._FilterDatabase" localSheetId="4" hidden="1">LOJAS!$N$3:$Q$63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5" l="1"/>
  <c r="B4" i="5"/>
  <c r="C4" i="5"/>
  <c r="D4" i="5"/>
  <c r="E4" i="5"/>
  <c r="F4" i="5"/>
  <c r="O4" i="5"/>
  <c r="N4" i="5"/>
  <c r="M4" i="5"/>
  <c r="L4" i="5"/>
  <c r="K4" i="5"/>
  <c r="J4" i="5"/>
  <c r="H4" i="5"/>
  <c r="I4" i="5"/>
  <c r="G4" i="5"/>
  <c r="N4" i="1" l="1"/>
  <c r="K8" i="5" l="1"/>
  <c r="J8" i="5"/>
  <c r="I8" i="5"/>
  <c r="H8" i="5"/>
  <c r="G8" i="5"/>
  <c r="F8" i="5"/>
  <c r="E8" i="5"/>
  <c r="D8" i="5"/>
  <c r="C8" i="5"/>
  <c r="B8" i="5"/>
  <c r="A8" i="5"/>
  <c r="B25" i="5"/>
  <c r="B21" i="5"/>
  <c r="B24" i="5"/>
  <c r="B20" i="5"/>
  <c r="B19" i="5"/>
  <c r="B18" i="5"/>
  <c r="B17" i="5"/>
  <c r="F2" i="1"/>
  <c r="B22" i="5" s="1"/>
  <c r="E14" i="3" l="1"/>
  <c r="P4" i="1"/>
  <c r="L13" i="1" l="1"/>
  <c r="J9" i="1" l="1"/>
  <c r="E9" i="1"/>
  <c r="E22" i="3" l="1"/>
  <c r="O4" i="1"/>
  <c r="E23" i="3"/>
  <c r="E20" i="3"/>
  <c r="E17" i="3"/>
  <c r="E16" i="3"/>
  <c r="E13" i="3"/>
  <c r="E12" i="3"/>
  <c r="E11" i="3"/>
  <c r="E10" i="3"/>
  <c r="E19" i="3"/>
  <c r="E10" i="4" l="1"/>
  <c r="A19" i="4" l="1"/>
  <c r="L13" i="4"/>
  <c r="D7" i="4" l="1"/>
  <c r="D6" i="4"/>
  <c r="D5" i="4"/>
  <c r="D4" i="4"/>
  <c r="F10" i="4" s="1"/>
  <c r="I5" i="4" l="1"/>
  <c r="F19" i="4" l="1"/>
  <c r="E19" i="4"/>
  <c r="A18" i="4"/>
  <c r="E13" i="4"/>
  <c r="A13" i="4"/>
  <c r="A12" i="4" s="1"/>
  <c r="F13" i="4" s="1"/>
  <c r="G19" i="4" l="1"/>
  <c r="H19" i="4" s="1"/>
  <c r="B13" i="4"/>
  <c r="G13" i="4"/>
  <c r="H13" i="4"/>
  <c r="G10" i="4"/>
  <c r="G9" i="4" s="1"/>
  <c r="I19" i="4"/>
  <c r="I13" i="4" l="1"/>
  <c r="J13" i="4" s="1"/>
  <c r="J5" i="4" s="1"/>
  <c r="G20" i="1"/>
  <c r="J12" i="4" l="1"/>
  <c r="B20" i="1"/>
  <c r="E20" i="1"/>
  <c r="B23" i="5" s="1"/>
  <c r="F20" i="1"/>
  <c r="D20" i="1" s="1"/>
  <c r="C20" i="1" s="1"/>
  <c r="I20" i="1"/>
  <c r="H20" i="1"/>
</calcChain>
</file>

<file path=xl/sharedStrings.xml><?xml version="1.0" encoding="utf-8"?>
<sst xmlns="http://schemas.openxmlformats.org/spreadsheetml/2006/main" count="381" uniqueCount="311">
  <si>
    <t>Caixa</t>
  </si>
  <si>
    <t>Nro da Venda</t>
  </si>
  <si>
    <t>Nome Estabelecimento</t>
  </si>
  <si>
    <t>Cód. ESTABELECIMENTO</t>
  </si>
  <si>
    <t>Data envio solicitação</t>
  </si>
  <si>
    <t>Data Movto</t>
  </si>
  <si>
    <t>Nº Caixa</t>
  </si>
  <si>
    <t>Valor Pago</t>
  </si>
  <si>
    <t>Abatimento</t>
  </si>
  <si>
    <t>Juros</t>
  </si>
  <si>
    <t>Multa</t>
  </si>
  <si>
    <t>Outros Pgto</t>
  </si>
  <si>
    <t>Total Geral</t>
  </si>
  <si>
    <t>Tipo de Liquidação</t>
  </si>
  <si>
    <t>Operação Contábil</t>
  </si>
  <si>
    <t>Nº de Parcelas</t>
  </si>
  <si>
    <t>TEF - NSU</t>
  </si>
  <si>
    <t>NSU</t>
  </si>
  <si>
    <t>Autorizador Pagamento Internet</t>
  </si>
  <si>
    <t>Sequência</t>
  </si>
  <si>
    <t>SOMENTE PARA TRANSAÇÕES NO TEF</t>
  </si>
  <si>
    <t>Informações da transação no TEF (Sitefweb - Consulta Transação)</t>
  </si>
  <si>
    <t>Loja</t>
  </si>
  <si>
    <t>Data</t>
  </si>
  <si>
    <t>Hora</t>
  </si>
  <si>
    <t>PDV</t>
  </si>
  <si>
    <t>NSU Host</t>
  </si>
  <si>
    <t>Rede</t>
  </si>
  <si>
    <t>Produto</t>
  </si>
  <si>
    <t>Transação</t>
  </si>
  <si>
    <t>Documento</t>
  </si>
  <si>
    <t>Valor</t>
  </si>
  <si>
    <t>Estado Transação</t>
  </si>
  <si>
    <t>Cod. Resp.</t>
  </si>
  <si>
    <t>Doc Cancel</t>
  </si>
  <si>
    <t>Cód. Autor</t>
  </si>
  <si>
    <t>No. Parc.</t>
  </si>
  <si>
    <t>Data do lanc</t>
  </si>
  <si>
    <t>Usuário Pend</t>
  </si>
  <si>
    <t>Data Pend</t>
  </si>
  <si>
    <t>Hora Pend</t>
  </si>
  <si>
    <t>Tempo Resp. Rede</t>
  </si>
  <si>
    <t>Bandeira</t>
  </si>
  <si>
    <t>Term. Lógico</t>
  </si>
  <si>
    <t>Operador</t>
  </si>
  <si>
    <t>Data:</t>
  </si>
  <si>
    <t>Loja:</t>
  </si>
  <si>
    <t>Código Loja:</t>
  </si>
  <si>
    <t>Cartão:</t>
  </si>
  <si>
    <t>PDV:</t>
  </si>
  <si>
    <t>NSU:</t>
  </si>
  <si>
    <t>NSU Host:</t>
  </si>
  <si>
    <t>NSU Host Aux:</t>
  </si>
  <si>
    <t>Valor:</t>
  </si>
  <si>
    <t>Rede:</t>
  </si>
  <si>
    <t>Tipo Produto:</t>
  </si>
  <si>
    <t>Conciliação:</t>
  </si>
  <si>
    <t>Código Autorização:</t>
  </si>
  <si>
    <t>Estabelecimento:</t>
  </si>
  <si>
    <t>Produto:</t>
  </si>
  <si>
    <t>Nº. Parcelas:</t>
  </si>
  <si>
    <t>Código Operador:</t>
  </si>
  <si>
    <t>Tipo do Cartão:</t>
  </si>
  <si>
    <t>Cod. SiTef:</t>
  </si>
  <si>
    <t>Terminal Logico:</t>
  </si>
  <si>
    <t>Descrição da Loja:</t>
  </si>
  <si>
    <t>Formas de Pagamento:</t>
  </si>
  <si>
    <t>Desc.T</t>
  </si>
  <si>
    <t>C. Cliente</t>
  </si>
  <si>
    <t>Sitef Express</t>
  </si>
  <si>
    <t>SitefWeb</t>
  </si>
  <si>
    <t>Valor a ser cancelado no cartão</t>
  </si>
  <si>
    <t>ESTABELECIMENTO</t>
  </si>
  <si>
    <t>LOTE</t>
  </si>
  <si>
    <t>DT DEPÓSITO</t>
  </si>
  <si>
    <t>CARTÃO / XID</t>
  </si>
  <si>
    <t>DT VENDA</t>
  </si>
  <si>
    <t>VL VENDA</t>
  </si>
  <si>
    <t>VL CANCELAR</t>
  </si>
  <si>
    <t>AUT.</t>
  </si>
  <si>
    <t>MOTIVO</t>
  </si>
  <si>
    <t>A pedido do cliente</t>
  </si>
  <si>
    <t>SE A VENDA NÃO FOI POR TEF, PREENCHER COM INFORMAÇÕES - POS E E-COMMERCE (preenchimento manual)</t>
  </si>
  <si>
    <t>INFORMAÇÕES PARA PLANILHA PADRÃO CIELO - TEF (preenchimento automático)</t>
  </si>
  <si>
    <t>LOJA/UO</t>
  </si>
  <si>
    <t>ESTABELECIMENTO DO SESC/RS</t>
  </si>
  <si>
    <t>CNPJ</t>
  </si>
  <si>
    <t>MATRIZ</t>
  </si>
  <si>
    <t>03.575.238/0001-33</t>
  </si>
  <si>
    <t>PROTÁSIO ALVES - HOTEL</t>
  </si>
  <si>
    <t>03.575.238/0002-14</t>
  </si>
  <si>
    <t>4º DISTRITO - RESTAURANTE</t>
  </si>
  <si>
    <t>03.575.238/0003-03</t>
  </si>
  <si>
    <t>COMUNIDADE</t>
  </si>
  <si>
    <t>03.575.238/0004-86</t>
  </si>
  <si>
    <t>ALEGRETE</t>
  </si>
  <si>
    <t>03.575.238/0025-00</t>
  </si>
  <si>
    <t>BAGÉ</t>
  </si>
  <si>
    <t>03.575.238/0023-49</t>
  </si>
  <si>
    <t>BENTO GONÇALVES</t>
  </si>
  <si>
    <t>03.575.238/0046-35</t>
  </si>
  <si>
    <t>CACHOEIRA DO SUL</t>
  </si>
  <si>
    <t>03.575.238/0013-77</t>
  </si>
  <si>
    <t>CARAZINHO</t>
  </si>
  <si>
    <t>03.575.238/0021-87</t>
  </si>
  <si>
    <t>CAXIAS DO SUL - RESTAURANTE</t>
  </si>
  <si>
    <t>03.575.238/0024-20</t>
  </si>
  <si>
    <t>CRUZ ALTA</t>
  </si>
  <si>
    <t>03.575.238/0016-10</t>
  </si>
  <si>
    <t>ERECHIM</t>
  </si>
  <si>
    <t>03.575.238/0027-72</t>
  </si>
  <si>
    <t>IJUÍ</t>
  </si>
  <si>
    <t>03.575.238/0008-00</t>
  </si>
  <si>
    <t>LAJEADO</t>
  </si>
  <si>
    <t>03.575.238/0018-81</t>
  </si>
  <si>
    <t>NOVO HAMBURGO</t>
  </si>
  <si>
    <t>03.575.238/0017-09</t>
  </si>
  <si>
    <t>PASSO FUNDO</t>
  </si>
  <si>
    <t>03.575.238/0020-04</t>
  </si>
  <si>
    <t>PELOTAS</t>
  </si>
  <si>
    <t>03.575.238/0014-58</t>
  </si>
  <si>
    <t>RIO GRANDE</t>
  </si>
  <si>
    <t>03.575.238/0019-62</t>
  </si>
  <si>
    <t>SANTA CRUZ</t>
  </si>
  <si>
    <t>03.575.238/0010-24</t>
  </si>
  <si>
    <t>SANTA MARIA</t>
  </si>
  <si>
    <t>03.575.238/0009-90</t>
  </si>
  <si>
    <t>SANTA ROSA</t>
  </si>
  <si>
    <t>03.575.238/0026-91</t>
  </si>
  <si>
    <t>SANTANA DO LIVRAMENTO</t>
  </si>
  <si>
    <t>03.575.238/0022-68</t>
  </si>
  <si>
    <t>SANTO ANGELO</t>
  </si>
  <si>
    <t>03.575.238/0011-05</t>
  </si>
  <si>
    <t>SÃO LEOPOLDO</t>
  </si>
  <si>
    <t>03.575.238/0012-96</t>
  </si>
  <si>
    <t>URUGUAIANA</t>
  </si>
  <si>
    <t>03.575.238/0007-29</t>
  </si>
  <si>
    <t>ALBERTO BINS - RESTAURANTE</t>
  </si>
  <si>
    <t>03.575.238/0069-21</t>
  </si>
  <si>
    <t>AZENHA</t>
  </si>
  <si>
    <t>03.575.238/0005-67</t>
  </si>
  <si>
    <t>SÃO BORJA</t>
  </si>
  <si>
    <t>03.575.238/0028-53</t>
  </si>
  <si>
    <t>CAMAQUÃ</t>
  </si>
  <si>
    <t>03.575.238/0029-34</t>
  </si>
  <si>
    <t>TORRES - HOTEL</t>
  </si>
  <si>
    <t>03.575.238/0030-78</t>
  </si>
  <si>
    <t>VENÂNCIO AIRES</t>
  </si>
  <si>
    <t>03.575.238/0032-30</t>
  </si>
  <si>
    <t>MONTENEGRO</t>
  </si>
  <si>
    <t>03.575.238/0031-59</t>
  </si>
  <si>
    <t>FARROUPILHA</t>
  </si>
  <si>
    <t>03.575.238/0033-10</t>
  </si>
  <si>
    <t>GRAVATAÍ - RESTAURANTE</t>
  </si>
  <si>
    <t>03.575.238/0036-63</t>
  </si>
  <si>
    <t>GRAMADO - HOTEL</t>
  </si>
  <si>
    <t>03.575.238/0035-82</t>
  </si>
  <si>
    <t>TAQUARA</t>
  </si>
  <si>
    <t>03.575.238/0034-00</t>
  </si>
  <si>
    <t>TRAMANDAÍ</t>
  </si>
  <si>
    <t>03.575.238/0037-44</t>
  </si>
  <si>
    <t>VIAMÃO</t>
  </si>
  <si>
    <t>03.575.238/0038-25</t>
  </si>
  <si>
    <t>CHUÍ</t>
  </si>
  <si>
    <t>03.575.238/0039-06</t>
  </si>
  <si>
    <t>CANOAS</t>
  </si>
  <si>
    <t>03.575.238/0040-40</t>
  </si>
  <si>
    <t>CACHOEIRINHA</t>
  </si>
  <si>
    <t>03.575.238/0041-20</t>
  </si>
  <si>
    <t>CENTRO HISTÓRICO - RESTAURANTE</t>
  </si>
  <si>
    <t>03.575.238/0042-01</t>
  </si>
  <si>
    <t>FREDERICO WESTPHALEN</t>
  </si>
  <si>
    <t>03.575.238/0043-92</t>
  </si>
  <si>
    <t>SÃO LUIZ GONZAGA</t>
  </si>
  <si>
    <t>03.575.238/0045-54</t>
  </si>
  <si>
    <t>ITAQUI (São Borja)</t>
  </si>
  <si>
    <t>03.575.238/0054-45</t>
  </si>
  <si>
    <t>OSÓRIO</t>
  </si>
  <si>
    <t>03.575.238/0050-11</t>
  </si>
  <si>
    <t>PALMEIRA DAS MISSÕES</t>
  </si>
  <si>
    <t>03.575.238/0049-88</t>
  </si>
  <si>
    <t>QUARAÍ</t>
  </si>
  <si>
    <t>03.575.238/0081-18</t>
  </si>
  <si>
    <t>SANTIAGO</t>
  </si>
  <si>
    <t>03.575.238/0051-00</t>
  </si>
  <si>
    <t>SÃO SEBASTIÃO DO CAÍ (São Leopoldo)</t>
  </si>
  <si>
    <t>03.575.238/0067-60</t>
  </si>
  <si>
    <t>SÃO SEPÉ</t>
  </si>
  <si>
    <t>03.575.238/0064-17</t>
  </si>
  <si>
    <t>TRÊS PASSOS</t>
  </si>
  <si>
    <t>03.575.238/0083-80</t>
  </si>
  <si>
    <t>90/901 571/573</t>
  </si>
  <si>
    <t>VACARIA (Caxias do Sul)</t>
  </si>
  <si>
    <t>03.575.238/0063-36</t>
  </si>
  <si>
    <t>TRÊS DE MAIO</t>
  </si>
  <si>
    <t>03.575.238/0055-26</t>
  </si>
  <si>
    <t>ANCHIETA</t>
  </si>
  <si>
    <t>03.575.238/0085-41</t>
  </si>
  <si>
    <t>Nome do Cliente</t>
  </si>
  <si>
    <t>CPF do Cliente</t>
  </si>
  <si>
    <t>E-Commerce</t>
  </si>
  <si>
    <t>CÁLCULO VENDAS CANCELADAS CARTÃO DE CREDITO - MENSAL/PLANOS</t>
  </si>
  <si>
    <t>***Somente os campos em amarelo devem ser preenchidos pela UO.</t>
  </si>
  <si>
    <t>MENSAL</t>
  </si>
  <si>
    <t>descrição</t>
  </si>
  <si>
    <t>valor</t>
  </si>
  <si>
    <t>valor mês/dia</t>
  </si>
  <si>
    <t>quantidade mês/dias</t>
  </si>
  <si>
    <t>multa</t>
  </si>
  <si>
    <t>cobrança</t>
  </si>
  <si>
    <t>Selecione, abaixo, a opção desejada.</t>
  </si>
  <si>
    <t>TRIMESTRAL</t>
  </si>
  <si>
    <t>Mensal</t>
  </si>
  <si>
    <t>não</t>
  </si>
  <si>
    <t>dias</t>
  </si>
  <si>
    <t>Trimestral</t>
  </si>
  <si>
    <t>sim</t>
  </si>
  <si>
    <t>mês integral</t>
  </si>
  <si>
    <t>SEMESTRAL</t>
  </si>
  <si>
    <t>Semestral</t>
  </si>
  <si>
    <t>ANUAL</t>
  </si>
  <si>
    <t>Anual</t>
  </si>
  <si>
    <t>data da venda</t>
  </si>
  <si>
    <t>Plano (trimestral, semestral e anual)</t>
  </si>
  <si>
    <t>valor do serviço disponibilizado</t>
  </si>
  <si>
    <t>O valor da multa será descontado do valor a devolver?</t>
  </si>
  <si>
    <t>CÁLCULO VENDAS CANCELADAS CARTÃO DE CRÉDITO - RECORRÊNCIA</t>
  </si>
  <si>
    <t>RECORRÊNCIA</t>
  </si>
  <si>
    <t>SIM</t>
  </si>
  <si>
    <t>NÃO</t>
  </si>
  <si>
    <t>Meses disponibilizados</t>
  </si>
  <si>
    <t>Data do cancelamento</t>
  </si>
  <si>
    <t>Data da venda</t>
  </si>
  <si>
    <t>Multa mês</t>
  </si>
  <si>
    <t>Valor multa</t>
  </si>
  <si>
    <t>Valor do contrato</t>
  </si>
  <si>
    <t>Multa/mês</t>
  </si>
  <si>
    <t>Valor total multa</t>
  </si>
  <si>
    <t>Valor do serviço pago</t>
  </si>
  <si>
    <t>Dias disponibilizados</t>
  </si>
  <si>
    <t>Valor dias disponibilizados</t>
  </si>
  <si>
    <t>Valor serv. disponibilizado + multa</t>
  </si>
  <si>
    <t>Modalidade Cancelamento</t>
  </si>
  <si>
    <t>Número cartão a cancelar</t>
  </si>
  <si>
    <t>Resumo da solicitação de cancelamento cartão:</t>
  </si>
  <si>
    <t>Valor a cancelar no cartão</t>
  </si>
  <si>
    <t>Valor transação do cartão</t>
  </si>
  <si>
    <t>PLANILHA PARA SOLICITAÇÃO DE CANCELAMENTO DE CARTÕES</t>
  </si>
  <si>
    <t>V- 26/1</t>
  </si>
  <si>
    <t>CONFERÊNCIA LIGAÇÃO NSU</t>
  </si>
  <si>
    <t>CONFERÊNCIA VALOR SOLICITADO CANCELAMENTO</t>
  </si>
  <si>
    <t>CONFERÊNCIA SALVAR GERAL</t>
  </si>
  <si>
    <t>CIELO</t>
  </si>
  <si>
    <t>DATA DA SOLICITAÇÃO  DE CANCELAMENTO PELA U0</t>
  </si>
  <si>
    <t>CX</t>
  </si>
  <si>
    <t>N° DA VENDA</t>
  </si>
  <si>
    <t>NOME DA UO</t>
  </si>
  <si>
    <t>NOME DO CLIENTE</t>
  </si>
  <si>
    <t>CPF CLIENTE</t>
  </si>
  <si>
    <t>DATA DA VENDA TRANSAÇÃO</t>
  </si>
  <si>
    <t>VALOR TOTAL DA VENDA</t>
  </si>
  <si>
    <t>VALOR DA TRANSAÇÃO FEITA NO CARTÃO</t>
  </si>
  <si>
    <t>QTE PARC</t>
  </si>
  <si>
    <t>BANDEIRA</t>
  </si>
  <si>
    <t>CÓD AUT</t>
  </si>
  <si>
    <t>TID</t>
  </si>
  <si>
    <t>CANCELAMENTO STD</t>
  </si>
  <si>
    <t>EFETIVADO</t>
  </si>
  <si>
    <t>CPF DO CLIENTE</t>
  </si>
  <si>
    <t>VALOR DA TRANSAÇÃO E DO CANCELAMENTO</t>
  </si>
  <si>
    <t>NSU BERGS</t>
  </si>
  <si>
    <t>DATA DE ENVIO DE CANCELAMENTO</t>
  </si>
  <si>
    <t>DATA DA EFETIVAÇÃO DO CANCELAMENTO</t>
  </si>
  <si>
    <t>LANÇ SESC NET</t>
  </si>
  <si>
    <t>STATUS</t>
  </si>
  <si>
    <t>OBS</t>
  </si>
  <si>
    <t>INFORMAÇÕES PARA CANCELAMENTO VERO - PREENCHIMENTO AUTOMÁTICO</t>
  </si>
  <si>
    <t>DATA DA VENDA</t>
  </si>
  <si>
    <t>VALOR DA VENDA</t>
  </si>
  <si>
    <t>VALOR CANCELAMENTO</t>
  </si>
  <si>
    <t>CÓDIGO LÓGICO</t>
  </si>
  <si>
    <t>Nº CARTÃO</t>
  </si>
  <si>
    <t>Nº PARCELAS</t>
  </si>
  <si>
    <t>TÍTULO</t>
  </si>
  <si>
    <t>03.575.238/0086-22</t>
  </si>
  <si>
    <t>SESQUINHO LAJEADO</t>
  </si>
  <si>
    <t>03.575.238/0084-60</t>
  </si>
  <si>
    <t>03.575.238/0088-94</t>
  </si>
  <si>
    <t>03.575.238/0089-75</t>
  </si>
  <si>
    <t>03.575.238/0090-09</t>
  </si>
  <si>
    <t>JAGUARAO</t>
  </si>
  <si>
    <t>NOVA PRATA</t>
  </si>
  <si>
    <t>SÃO JUDAS</t>
  </si>
  <si>
    <t>TRES DE MAIO EJA</t>
  </si>
  <si>
    <t>BANRI</t>
  </si>
  <si>
    <t xml:space="preserve">VALOR CANCELADO </t>
  </si>
  <si>
    <t>Modo Entrada:</t>
  </si>
  <si>
    <t>Cupom Fiscal:</t>
  </si>
  <si>
    <t>Data Fiscal:</t>
  </si>
  <si>
    <t>Descritivo Transação:</t>
  </si>
  <si>
    <t>Usuário Pendência:</t>
  </si>
  <si>
    <t>Cód. Cliente:</t>
  </si>
  <si>
    <t>PSP:</t>
  </si>
  <si>
    <t>Num. Pula Ciclos:</t>
  </si>
  <si>
    <t>Resp. Rede:</t>
  </si>
  <si>
    <t>Data da pendência:</t>
  </si>
  <si>
    <t>Supervisor:</t>
  </si>
  <si>
    <t>Flag de on/off:</t>
  </si>
  <si>
    <t>Plano:</t>
  </si>
  <si>
    <t>Ident. Dossie: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</si>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</sst>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00\.000\.000\-00"/>
    <numFmt numFmtId="166" formatCode="&quot;R$&quot;\ #,##0.00"/>
    <numFmt numFmtId="167" formatCode="[$-F800]dddd\,\ mmmm\ dd\,\ yyyy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name val="Arial"/>
      <family val="2"/>
      <charset val="1"/>
    </font>
    <font>
      <sz val="11"/>
      <color rgb="FF000000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133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4" fontId="0" fillId="5" borderId="1" xfId="0" applyNumberFormat="1" applyFill="1" applyBorder="1" applyAlignment="1">
      <alignment horizontal="center" vertical="center"/>
    </xf>
    <xf numFmtId="2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0" fontId="5" fillId="0" borderId="0" xfId="0" applyFont="1"/>
    <xf numFmtId="0" fontId="6" fillId="0" borderId="2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7" borderId="6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44" fontId="1" fillId="0" borderId="1" xfId="1" applyFont="1" applyBorder="1" applyAlignment="1" applyProtection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7" xfId="0" applyFont="1" applyBorder="1" applyAlignment="1">
      <alignment vertical="center"/>
    </xf>
    <xf numFmtId="14" fontId="0" fillId="2" borderId="1" xfId="0" applyNumberFormat="1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>
      <alignment horizontal="center" vertical="center"/>
    </xf>
    <xf numFmtId="164" fontId="0" fillId="8" borderId="1" xfId="0" applyNumberFormat="1" applyFill="1" applyBorder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14" fontId="1" fillId="0" borderId="7" xfId="0" applyNumberFormat="1" applyFont="1" applyBorder="1" applyAlignment="1">
      <alignment vertical="center"/>
    </xf>
    <xf numFmtId="14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0" fontId="8" fillId="0" borderId="0" xfId="0" applyFont="1" applyAlignment="1">
      <alignment horizontal="center" vertical="center"/>
    </xf>
    <xf numFmtId="14" fontId="1" fillId="7" borderId="1" xfId="0" applyNumberFormat="1" applyFont="1" applyFill="1" applyBorder="1" applyAlignment="1">
      <alignment horizontal="center" vertical="center" wrapText="1"/>
    </xf>
    <xf numFmtId="44" fontId="0" fillId="0" borderId="1" xfId="1" applyFont="1" applyFill="1" applyBorder="1" applyAlignment="1" applyProtection="1">
      <alignment vertical="center"/>
    </xf>
    <xf numFmtId="44" fontId="0" fillId="0" borderId="1" xfId="0" applyNumberFormat="1" applyBorder="1" applyAlignment="1">
      <alignment vertical="center"/>
    </xf>
    <xf numFmtId="44" fontId="0" fillId="8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7" fillId="8" borderId="0" xfId="0" applyFont="1" applyFill="1" applyAlignment="1">
      <alignment vertical="center" wrapText="1"/>
    </xf>
    <xf numFmtId="0" fontId="1" fillId="8" borderId="0" xfId="0" applyFont="1" applyFill="1" applyAlignment="1">
      <alignment horizontal="center" vertical="center" wrapText="1"/>
    </xf>
    <xf numFmtId="0" fontId="4" fillId="0" borderId="0" xfId="0" applyFont="1" applyAlignment="1" applyProtection="1">
      <alignment horizontal="center" vertical="center"/>
      <protection locked="0"/>
    </xf>
    <xf numFmtId="0" fontId="1" fillId="2" borderId="9" xfId="0" applyFont="1" applyFill="1" applyBorder="1" applyAlignment="1" applyProtection="1">
      <alignment horizontal="center" vertical="center"/>
      <protection locked="0"/>
    </xf>
    <xf numFmtId="14" fontId="1" fillId="2" borderId="1" xfId="0" applyNumberFormat="1" applyFont="1" applyFill="1" applyBorder="1" applyAlignment="1" applyProtection="1">
      <alignment horizontal="center" vertical="center"/>
      <protection locked="0"/>
    </xf>
    <xf numFmtId="14" fontId="1" fillId="2" borderId="10" xfId="0" applyNumberFormat="1" applyFont="1" applyFill="1" applyBorder="1" applyAlignment="1" applyProtection="1">
      <alignment horizontal="center" vertical="center"/>
      <protection locked="0"/>
    </xf>
    <xf numFmtId="44" fontId="1" fillId="0" borderId="1" xfId="1" applyFont="1" applyFill="1" applyBorder="1" applyAlignment="1" applyProtection="1">
      <alignment vertical="center"/>
    </xf>
    <xf numFmtId="0" fontId="0" fillId="0" borderId="1" xfId="0" applyBorder="1" applyAlignment="1">
      <alignment horizontal="center" vertical="center"/>
    </xf>
    <xf numFmtId="44" fontId="0" fillId="8" borderId="0" xfId="0" applyNumberFormat="1" applyFill="1" applyAlignment="1">
      <alignment vertical="center"/>
    </xf>
    <xf numFmtId="44" fontId="3" fillId="8" borderId="0" xfId="0" applyNumberFormat="1" applyFont="1" applyFill="1" applyAlignment="1">
      <alignment vertical="center"/>
    </xf>
    <xf numFmtId="0" fontId="0" fillId="8" borderId="0" xfId="0" applyFill="1"/>
    <xf numFmtId="14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1" fillId="2" borderId="1" xfId="1" applyNumberFormat="1" applyFont="1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0" fillId="2" borderId="1" xfId="0" applyFill="1" applyBorder="1" applyAlignment="1" applyProtection="1">
      <alignment horizontal="center" vertical="center"/>
      <protection locked="0"/>
    </xf>
    <xf numFmtId="0" fontId="1" fillId="2" borderId="1" xfId="1" applyNumberFormat="1" applyFont="1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0" fillId="0" borderId="0" xfId="0" applyAlignment="1">
      <alignment horizontal="left"/>
    </xf>
    <xf numFmtId="14" fontId="0" fillId="0" borderId="1" xfId="0" applyNumberFormat="1" applyBorder="1" applyAlignment="1">
      <alignment horizontal="left"/>
    </xf>
    <xf numFmtId="1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1" fillId="9" borderId="1" xfId="0" applyFont="1" applyFill="1" applyBorder="1"/>
    <xf numFmtId="44" fontId="0" fillId="0" borderId="1" xfId="1" applyFont="1" applyBorder="1" applyAlignment="1">
      <alignment horizontal="left"/>
    </xf>
    <xf numFmtId="0" fontId="1" fillId="5" borderId="1" xfId="0" applyFont="1" applyFill="1" applyBorder="1"/>
    <xf numFmtId="44" fontId="0" fillId="5" borderId="1" xfId="1" applyFont="1" applyFill="1" applyBorder="1" applyAlignment="1">
      <alignment horizontal="left"/>
    </xf>
    <xf numFmtId="0" fontId="0" fillId="0" borderId="0" xfId="0" applyAlignment="1">
      <alignment horizontal="center" vertical="top" wrapText="1"/>
    </xf>
    <xf numFmtId="0" fontId="0" fillId="0" borderId="0" xfId="0" applyAlignment="1">
      <alignment vertical="top" wrapText="1"/>
    </xf>
    <xf numFmtId="0" fontId="9" fillId="10" borderId="0" xfId="0" applyFont="1" applyFill="1" applyAlignment="1">
      <alignment horizontal="center"/>
    </xf>
    <xf numFmtId="0" fontId="0" fillId="10" borderId="0" xfId="0" applyFill="1"/>
    <xf numFmtId="0" fontId="0" fillId="10" borderId="0" xfId="0" applyFill="1" applyAlignment="1">
      <alignment horizontal="left"/>
    </xf>
    <xf numFmtId="0" fontId="0" fillId="10" borderId="0" xfId="0" applyFill="1" applyAlignment="1">
      <alignment horizontal="right"/>
    </xf>
    <xf numFmtId="0" fontId="0" fillId="10" borderId="0" xfId="0" applyFill="1" applyAlignment="1">
      <alignment vertical="top" wrapText="1"/>
    </xf>
    <xf numFmtId="0" fontId="10" fillId="10" borderId="0" xfId="0" applyFont="1" applyFill="1" applyAlignment="1">
      <alignment horizontal="center" vertical="center"/>
    </xf>
    <xf numFmtId="0" fontId="0" fillId="10" borderId="0" xfId="0" applyFill="1" applyAlignment="1">
      <alignment horizontal="center" vertical="top" wrapText="1"/>
    </xf>
    <xf numFmtId="7" fontId="0" fillId="2" borderId="1" xfId="0" applyNumberForma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0" fillId="13" borderId="0" xfId="0" applyFill="1"/>
    <xf numFmtId="21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2" fillId="14" borderId="1" xfId="0" applyFont="1" applyFill="1" applyBorder="1" applyAlignment="1">
      <alignment horizontal="center" vertical="center" wrapText="1"/>
    </xf>
    <xf numFmtId="165" fontId="12" fillId="14" borderId="1" xfId="0" applyNumberFormat="1" applyFont="1" applyFill="1" applyBorder="1" applyAlignment="1">
      <alignment horizontal="center" vertical="center" wrapText="1"/>
    </xf>
    <xf numFmtId="14" fontId="12" fillId="14" borderId="1" xfId="0" applyNumberFormat="1" applyFont="1" applyFill="1" applyBorder="1" applyAlignment="1">
      <alignment horizontal="center" vertical="center" wrapText="1"/>
    </xf>
    <xf numFmtId="166" fontId="12" fillId="14" borderId="1" xfId="0" applyNumberFormat="1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43" fontId="0" fillId="0" borderId="1" xfId="2" applyFont="1" applyBorder="1" applyAlignment="1">
      <alignment horizontal="center" vertical="center"/>
    </xf>
    <xf numFmtId="14" fontId="0" fillId="0" borderId="0" xfId="0" applyNumberFormat="1"/>
    <xf numFmtId="0" fontId="12" fillId="10" borderId="1" xfId="0" applyFont="1" applyFill="1" applyBorder="1" applyAlignment="1">
      <alignment horizontal="center" vertical="center" wrapText="1"/>
    </xf>
    <xf numFmtId="166" fontId="12" fillId="10" borderId="1" xfId="0" applyNumberFormat="1" applyFont="1" applyFill="1" applyBorder="1" applyAlignment="1">
      <alignment horizontal="center" vertical="center" wrapText="1"/>
    </xf>
    <xf numFmtId="0" fontId="12" fillId="10" borderId="6" xfId="0" applyFont="1" applyFill="1" applyBorder="1" applyAlignment="1">
      <alignment horizontal="center" vertical="center" wrapText="1"/>
    </xf>
    <xf numFmtId="0" fontId="13" fillId="0" borderId="0" xfId="0" applyFont="1"/>
    <xf numFmtId="0" fontId="15" fillId="15" borderId="1" xfId="0" applyFont="1" applyFill="1" applyBorder="1" applyAlignment="1">
      <alignment horizontal="left" vertical="center"/>
    </xf>
    <xf numFmtId="1" fontId="0" fillId="0" borderId="1" xfId="0" applyNumberFormat="1" applyBorder="1" applyAlignment="1">
      <alignment horizontal="center" vertical="center"/>
    </xf>
    <xf numFmtId="0" fontId="12" fillId="16" borderId="1" xfId="0" applyFont="1" applyFill="1" applyBorder="1" applyAlignment="1">
      <alignment horizontal="center" vertical="center"/>
    </xf>
    <xf numFmtId="0" fontId="12" fillId="17" borderId="0" xfId="0" applyFont="1" applyFill="1" applyAlignment="1">
      <alignment horizontal="left" vertical="center"/>
    </xf>
    <xf numFmtId="0" fontId="12" fillId="17" borderId="0" xfId="0" applyFont="1" applyFill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1" fontId="4" fillId="13" borderId="1" xfId="0" applyNumberFormat="1" applyFont="1" applyFill="1" applyBorder="1" applyAlignment="1">
      <alignment horizontal="center" vertical="center"/>
    </xf>
    <xf numFmtId="0" fontId="0" fillId="18" borderId="0" xfId="0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3" fontId="0" fillId="0" borderId="0" xfId="2" applyFont="1" applyBorder="1" applyAlignment="1">
      <alignment horizontal="center" vertical="center"/>
    </xf>
    <xf numFmtId="0" fontId="10" fillId="10" borderId="0" xfId="0" applyFont="1" applyFill="1" applyAlignment="1">
      <alignment horizontal="center" vertical="center"/>
    </xf>
    <xf numFmtId="0" fontId="0" fillId="0" borderId="0" xfId="0" applyAlignment="1">
      <alignment horizontal="center" vertical="top" wrapText="1"/>
    </xf>
    <xf numFmtId="0" fontId="11" fillId="10" borderId="0" xfId="0" applyFont="1" applyFill="1" applyAlignment="1">
      <alignment horizontal="center" vertical="center"/>
    </xf>
    <xf numFmtId="0" fontId="9" fillId="10" borderId="8" xfId="0" applyFont="1" applyFill="1" applyBorder="1" applyAlignment="1">
      <alignment horizontal="center"/>
    </xf>
    <xf numFmtId="0" fontId="9" fillId="1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/>
    </xf>
    <xf numFmtId="1" fontId="0" fillId="0" borderId="9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167" fontId="0" fillId="0" borderId="9" xfId="0" applyNumberFormat="1" applyBorder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44" fontId="0" fillId="0" borderId="9" xfId="1" applyFont="1" applyBorder="1" applyAlignment="1">
      <alignment horizontal="center" vertical="center"/>
    </xf>
    <xf numFmtId="44" fontId="0" fillId="0" borderId="10" xfId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7" borderId="8" xfId="0" applyFont="1" applyFill="1" applyBorder="1" applyAlignment="1" applyProtection="1">
      <alignment horizontal="center" vertical="center" wrapText="1"/>
      <protection locked="0"/>
    </xf>
    <xf numFmtId="0" fontId="1" fillId="7" borderId="0" xfId="0" applyFont="1" applyFill="1" applyAlignment="1" applyProtection="1">
      <alignment horizontal="center" vertical="center" wrapText="1"/>
      <protection locked="0"/>
    </xf>
    <xf numFmtId="0" fontId="0" fillId="2" borderId="1" xfId="0" applyFill="1" applyBorder="1" applyAlignment="1" applyProtection="1">
      <alignment horizontal="center" vertical="center"/>
      <protection locked="0"/>
    </xf>
  </cellXfs>
  <cellStyles count="3">
    <cellStyle name="Moeda" xfId="1" builtinId="4"/>
    <cellStyle name="Normal" xfId="0" builtinId="0"/>
    <cellStyle name="Vírgula" xfId="2" builtinId="3"/>
  </cellStyles>
  <dxfs count="15"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</border>
    </dxf>
    <dxf>
      <font>
        <strike val="0"/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strike val="0"/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strike val="0"/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strike val="0"/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strike val="0"/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strike val="0"/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strike val="0"/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strike val="0"/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strike val="0"/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 tint="-4.9989318521683403E-2"/>
      </font>
      <fill>
        <patternFill>
          <bgColor theme="4"/>
        </patternFill>
      </fill>
    </dxf>
    <dxf>
      <font>
        <color theme="0"/>
      </font>
      <fill>
        <patternFill>
          <bgColor theme="6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10589</xdr:colOff>
      <xdr:row>4</xdr:row>
      <xdr:rowOff>14104</xdr:rowOff>
    </xdr:from>
    <xdr:to>
      <xdr:col>3</xdr:col>
      <xdr:colOff>338674</xdr:colOff>
      <xdr:row>5</xdr:row>
      <xdr:rowOff>190495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9B09CBFC-71D0-057E-CA80-4BFF96F92A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4922" y="776104"/>
          <a:ext cx="465669" cy="4727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104775</xdr:colOff>
          <xdr:row>2</xdr:row>
          <xdr:rowOff>76200</xdr:rowOff>
        </xdr:from>
        <xdr:to>
          <xdr:col>15</xdr:col>
          <xdr:colOff>1581150</xdr:colOff>
          <xdr:row>2</xdr:row>
          <xdr:rowOff>314325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pt-BR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Data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104775</xdr:colOff>
          <xdr:row>2</xdr:row>
          <xdr:rowOff>95250</xdr:rowOff>
        </xdr:from>
        <xdr:to>
          <xdr:col>17</xdr:col>
          <xdr:colOff>0</xdr:colOff>
          <xdr:row>2</xdr:row>
          <xdr:rowOff>323850</xdr:rowOff>
        </xdr:to>
        <xdr:sp macro="" textlink="">
          <xdr:nvSpPr>
            <xdr:cNvPr id="2050" name="Button 2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id="{00000000-0008-0000-0200-00000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pt-BR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Data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57150</xdr:colOff>
          <xdr:row>2</xdr:row>
          <xdr:rowOff>123825</xdr:rowOff>
        </xdr:from>
        <xdr:to>
          <xdr:col>17</xdr:col>
          <xdr:colOff>1704975</xdr:colOff>
          <xdr:row>2</xdr:row>
          <xdr:rowOff>361950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pt-BR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Data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3"/>
  <dimension ref="B5:Q32"/>
  <sheetViews>
    <sheetView showGridLines="0" showRowColHeaders="0" tabSelected="1" zoomScale="80" zoomScaleNormal="80" workbookViewId="0">
      <selection activeCell="S16" sqref="S16"/>
    </sheetView>
  </sheetViews>
  <sheetFormatPr defaultRowHeight="15" x14ac:dyDescent="0.25"/>
  <cols>
    <col min="1" max="1" width="9.140625" customWidth="1"/>
    <col min="2" max="2" width="2.85546875" customWidth="1"/>
    <col min="3" max="3" width="2" customWidth="1"/>
    <col min="4" max="4" width="43" bestFit="1" customWidth="1"/>
    <col min="5" max="5" width="35.85546875" style="62" customWidth="1"/>
    <col min="6" max="6" width="2" customWidth="1"/>
    <col min="7" max="7" width="2.85546875" customWidth="1"/>
    <col min="14" max="14" width="11.85546875" customWidth="1"/>
    <col min="15" max="15" width="3" customWidth="1"/>
    <col min="16" max="16" width="2" customWidth="1"/>
    <col min="17" max="17" width="2.85546875" customWidth="1"/>
  </cols>
  <sheetData>
    <row r="5" spans="2:17" ht="23.25" x14ac:dyDescent="0.25">
      <c r="B5" s="82"/>
      <c r="C5" s="82"/>
      <c r="D5" s="106" t="s">
        <v>247</v>
      </c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77"/>
      <c r="P5" s="77"/>
      <c r="Q5" s="73"/>
    </row>
    <row r="6" spans="2:17" x14ac:dyDescent="0.25">
      <c r="B6" s="82"/>
      <c r="C6" s="82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8" t="s">
        <v>248</v>
      </c>
      <c r="P6" s="108"/>
      <c r="Q6" s="108"/>
    </row>
    <row r="7" spans="2:17" ht="13.5" customHeight="1" x14ac:dyDescent="0.25">
      <c r="B7" s="82"/>
      <c r="Q7" s="73"/>
    </row>
    <row r="8" spans="2:17" ht="18.75" x14ac:dyDescent="0.3">
      <c r="B8" s="82"/>
      <c r="D8" s="109" t="s">
        <v>244</v>
      </c>
      <c r="E8" s="110"/>
      <c r="G8" s="73"/>
      <c r="H8" s="110"/>
      <c r="I8" s="110"/>
      <c r="J8" s="110"/>
      <c r="K8" s="110"/>
      <c r="L8" s="110"/>
      <c r="M8" s="110"/>
      <c r="N8" s="110"/>
      <c r="O8" s="72"/>
      <c r="Q8" s="73"/>
    </row>
    <row r="9" spans="2:17" x14ac:dyDescent="0.25">
      <c r="B9" s="82"/>
      <c r="G9" s="73"/>
      <c r="O9" s="73"/>
      <c r="Q9" s="73"/>
    </row>
    <row r="10" spans="2:17" x14ac:dyDescent="0.25">
      <c r="B10" s="82"/>
      <c r="D10" s="66" t="s">
        <v>4</v>
      </c>
      <c r="E10" s="63" t="str">
        <f>IF(DADOS!B4="","", DADOS!B4)</f>
        <v/>
      </c>
      <c r="G10" s="73"/>
      <c r="O10" s="73"/>
      <c r="Q10" s="73"/>
    </row>
    <row r="11" spans="2:17" x14ac:dyDescent="0.25">
      <c r="B11" s="82"/>
      <c r="D11" s="66" t="s">
        <v>0</v>
      </c>
      <c r="E11" s="64" t="str">
        <f>IF(DADOS!C4="", "", DADOS!C4)</f>
        <v/>
      </c>
      <c r="G11" s="73"/>
      <c r="O11" s="73"/>
      <c r="Q11" s="73"/>
    </row>
    <row r="12" spans="2:17" x14ac:dyDescent="0.25">
      <c r="B12" s="82"/>
      <c r="D12" s="66" t="s">
        <v>1</v>
      </c>
      <c r="E12" s="64" t="str">
        <f>IF(DADOS!D4="","", DADOS!D4)</f>
        <v/>
      </c>
      <c r="G12" s="73"/>
      <c r="O12" s="73"/>
      <c r="Q12" s="73"/>
    </row>
    <row r="13" spans="2:17" x14ac:dyDescent="0.25">
      <c r="B13" s="82"/>
      <c r="D13" s="66" t="s">
        <v>2</v>
      </c>
      <c r="E13" s="64" t="str">
        <f>IF(DADOS!E4="","", DADOS!E4)</f>
        <v/>
      </c>
      <c r="G13" s="73"/>
      <c r="O13" s="73"/>
      <c r="Q13" s="73"/>
    </row>
    <row r="14" spans="2:17" x14ac:dyDescent="0.25">
      <c r="B14" s="82"/>
      <c r="D14" s="66" t="s">
        <v>3</v>
      </c>
      <c r="E14" s="64" t="str">
        <f>IF(DADOS!F2="","", DADOS!F2)</f>
        <v/>
      </c>
      <c r="G14" s="73"/>
      <c r="O14" s="73"/>
      <c r="Q14" s="73"/>
    </row>
    <row r="15" spans="2:17" ht="11.1" customHeight="1" x14ac:dyDescent="0.25">
      <c r="B15" s="82"/>
      <c r="G15" s="73"/>
      <c r="O15" s="73"/>
      <c r="Q15" s="73"/>
    </row>
    <row r="16" spans="2:17" x14ac:dyDescent="0.25">
      <c r="B16" s="82"/>
      <c r="D16" s="66" t="s">
        <v>198</v>
      </c>
      <c r="E16" s="64" t="str">
        <f>IF(DADOS!K4="","", DADOS!K4)</f>
        <v/>
      </c>
      <c r="G16" s="73"/>
      <c r="O16" s="73"/>
      <c r="Q16" s="73"/>
    </row>
    <row r="17" spans="2:17" ht="14.45" customHeight="1" x14ac:dyDescent="0.25">
      <c r="B17" s="82"/>
      <c r="D17" s="66" t="s">
        <v>199</v>
      </c>
      <c r="E17" s="64" t="str">
        <f>IF(DADOS!L4="","", DADOS!L4)</f>
        <v/>
      </c>
      <c r="G17" s="75"/>
      <c r="H17" s="107"/>
      <c r="I17" s="107"/>
      <c r="J17" s="107"/>
      <c r="K17" s="107"/>
      <c r="L17" s="107"/>
      <c r="M17" s="107"/>
      <c r="N17" s="107"/>
      <c r="O17" s="78"/>
      <c r="P17" s="70"/>
      <c r="Q17" s="73"/>
    </row>
    <row r="18" spans="2:17" ht="11.1" customHeight="1" x14ac:dyDescent="0.25">
      <c r="B18" s="82"/>
      <c r="E18" s="65"/>
      <c r="G18" s="76"/>
      <c r="H18" s="107"/>
      <c r="I18" s="107"/>
      <c r="J18" s="107"/>
      <c r="K18" s="107"/>
      <c r="L18" s="107"/>
      <c r="M18" s="107"/>
      <c r="N18" s="107"/>
      <c r="O18" s="78"/>
      <c r="P18" s="70"/>
      <c r="Q18" s="73"/>
    </row>
    <row r="19" spans="2:17" x14ac:dyDescent="0.25">
      <c r="B19" s="82"/>
      <c r="D19" s="66" t="s">
        <v>242</v>
      </c>
      <c r="E19" s="65" t="str">
        <f>IF(IF(DADOS!L15&lt;&gt;"","Sitef Web",IF(DADOS!J17&lt;&gt;"","Sitef Express",IF(DADOS!B29="sim","E-Commerce")))=FALSE,"", IF(DADOS!L15&lt;&gt;"","Sitef Web",IF(DADOS!J17&lt;&gt;"","Sitef Express",IF(DADOS!B29="sim","E-Commerce"))))</f>
        <v/>
      </c>
      <c r="G19" s="76"/>
      <c r="H19" s="76"/>
      <c r="I19" s="76"/>
      <c r="J19" s="76"/>
      <c r="K19" s="76"/>
      <c r="L19" s="76"/>
      <c r="M19" s="76"/>
      <c r="N19" s="76"/>
      <c r="O19" s="76"/>
      <c r="P19" s="70"/>
      <c r="Q19" s="73"/>
    </row>
    <row r="20" spans="2:17" x14ac:dyDescent="0.25">
      <c r="B20" s="82"/>
      <c r="D20" s="66" t="s">
        <v>243</v>
      </c>
      <c r="E20" s="65" t="str">
        <f>IF(IF(DADOS!K15&lt;&gt;"",DADOS!K15,IF(DADOS!E17&lt;&gt;"",DADOS!E17,""))=FALSE,"", IF(DADOS!K15&lt;&gt;"",DADOS!K15,IF(DADOS!E17&lt;&gt;"",DADOS!E17,"")))</f>
        <v/>
      </c>
      <c r="G20" s="71"/>
      <c r="H20" s="71"/>
      <c r="I20" s="71"/>
      <c r="J20" s="71"/>
      <c r="K20" s="71"/>
      <c r="L20" s="71"/>
      <c r="M20" s="71"/>
      <c r="N20" s="71"/>
      <c r="O20" s="71"/>
      <c r="P20" s="70"/>
      <c r="Q20" s="73"/>
    </row>
    <row r="21" spans="2:17" ht="11.1" customHeight="1" x14ac:dyDescent="0.25">
      <c r="B21" s="82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3"/>
    </row>
    <row r="22" spans="2:17" x14ac:dyDescent="0.25">
      <c r="B22" s="82"/>
      <c r="D22" s="66" t="s">
        <v>246</v>
      </c>
      <c r="E22" s="67">
        <f>IFERROR(VALUE(DADOS!E9),TRIM(DADOS!E8))</f>
        <v>0</v>
      </c>
      <c r="H22" s="71"/>
      <c r="I22" s="71"/>
      <c r="J22" s="71"/>
      <c r="K22" s="71"/>
      <c r="L22" s="71"/>
      <c r="M22" s="71"/>
      <c r="N22" s="71"/>
      <c r="O22" s="71"/>
      <c r="P22" s="71"/>
      <c r="Q22" s="73"/>
    </row>
    <row r="23" spans="2:17" x14ac:dyDescent="0.25">
      <c r="B23" s="82"/>
      <c r="D23" s="68" t="s">
        <v>245</v>
      </c>
      <c r="E23" s="69" t="str">
        <f>IF(DADOS!B27&lt;&gt;"", DADOS!B27,"")</f>
        <v/>
      </c>
      <c r="Q23" s="73"/>
    </row>
    <row r="24" spans="2:17" ht="8.1" customHeight="1" x14ac:dyDescent="0.25">
      <c r="B24" s="82"/>
      <c r="Q24" s="73"/>
    </row>
    <row r="25" spans="2:17" x14ac:dyDescent="0.25">
      <c r="B25" s="82"/>
      <c r="C25" s="82"/>
      <c r="D25" s="73"/>
      <c r="E25" s="74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</row>
    <row r="32" spans="2:17" x14ac:dyDescent="0.25">
      <c r="J32" t="s">
        <v>310</v>
      </c>
    </row>
  </sheetData>
  <mergeCells count="5">
    <mergeCell ref="D5:N6"/>
    <mergeCell ref="H17:N18"/>
    <mergeCell ref="O6:Q6"/>
    <mergeCell ref="D8:E8"/>
    <mergeCell ref="H8:N8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6"/>
  <dimension ref="A1"/>
  <sheetViews>
    <sheetView showGridLines="0" workbookViewId="0">
      <selection activeCell="L19" sqref="L1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5"/>
  <dimension ref="A2:T26"/>
  <sheetViews>
    <sheetView topLeftCell="B1" zoomScale="80" zoomScaleNormal="80" workbookViewId="0">
      <selection activeCell="B8" sqref="B8"/>
    </sheetView>
  </sheetViews>
  <sheetFormatPr defaultRowHeight="15" x14ac:dyDescent="0.25"/>
  <cols>
    <col min="1" max="1" width="71.42578125" style="1" bestFit="1" customWidth="1"/>
    <col min="2" max="2" width="23.140625" style="1" bestFit="1" customWidth="1"/>
    <col min="3" max="3" width="15" style="1" bestFit="1" customWidth="1"/>
    <col min="4" max="4" width="23.28515625" style="1" customWidth="1"/>
    <col min="5" max="5" width="19.7109375" style="1" bestFit="1" customWidth="1"/>
    <col min="6" max="6" width="42.28515625" style="1" bestFit="1" customWidth="1"/>
    <col min="7" max="7" width="27.5703125" style="1" bestFit="1" customWidth="1"/>
    <col min="8" max="8" width="27.28515625" style="1" bestFit="1" customWidth="1"/>
    <col min="9" max="9" width="38.7109375" style="1" bestFit="1" customWidth="1"/>
    <col min="10" max="10" width="10.7109375" style="1" bestFit="1" customWidth="1"/>
    <col min="11" max="11" width="39" style="1" customWidth="1"/>
    <col min="12" max="12" width="33.28515625" style="1" bestFit="1" customWidth="1"/>
    <col min="13" max="13" width="39.5703125" style="1" bestFit="1" customWidth="1"/>
    <col min="14" max="14" width="14.28515625" style="1" bestFit="1" customWidth="1"/>
    <col min="15" max="15" width="34.140625" style="1" bestFit="1" customWidth="1"/>
    <col min="16" max="16" width="24.85546875" style="1" customWidth="1"/>
    <col min="17" max="17" width="24.5703125" style="1" customWidth="1"/>
    <col min="18" max="18" width="26.140625" style="1" customWidth="1"/>
    <col min="19" max="19" width="19.7109375" style="1" bestFit="1" customWidth="1"/>
    <col min="20" max="20" width="10.85546875" style="1" bestFit="1" customWidth="1"/>
    <col min="21" max="16384" width="9.140625" style="1"/>
  </cols>
  <sheetData>
    <row r="2" spans="1:20" x14ac:dyDescent="0.25">
      <c r="A2" s="111" t="s">
        <v>252</v>
      </c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</row>
    <row r="3" spans="1:20" ht="30" x14ac:dyDescent="0.25">
      <c r="A3" s="85" t="s">
        <v>253</v>
      </c>
      <c r="B3" s="85" t="s">
        <v>254</v>
      </c>
      <c r="C3" s="85" t="s">
        <v>255</v>
      </c>
      <c r="D3" s="85" t="s">
        <v>256</v>
      </c>
      <c r="E3" s="85" t="s">
        <v>257</v>
      </c>
      <c r="F3" s="86" t="s">
        <v>258</v>
      </c>
      <c r="G3" s="87" t="s">
        <v>259</v>
      </c>
      <c r="H3" s="88" t="s">
        <v>260</v>
      </c>
      <c r="I3" s="88" t="s">
        <v>261</v>
      </c>
      <c r="J3" s="85" t="s">
        <v>262</v>
      </c>
      <c r="K3" s="85" t="s">
        <v>263</v>
      </c>
      <c r="L3" s="85" t="s">
        <v>17</v>
      </c>
      <c r="M3" s="85" t="s">
        <v>264</v>
      </c>
      <c r="N3" s="85" t="s">
        <v>265</v>
      </c>
      <c r="O3" s="88" t="s">
        <v>295</v>
      </c>
      <c r="P3"/>
    </row>
    <row r="4" spans="1:20" x14ac:dyDescent="0.25">
      <c r="A4" s="89" t="str">
        <f>IF(CAPA!E10="","",CAPA!E10)</f>
        <v/>
      </c>
      <c r="B4" s="97" t="str">
        <f>IF(CAPA!E11="","",CAPA!E11)</f>
        <v/>
      </c>
      <c r="C4" s="97" t="str">
        <f>IF(CAPA!E12="","",CAPA!E12)</f>
        <v/>
      </c>
      <c r="D4" s="97" t="str">
        <f>IF(CAPA!E13="","",CAPA!E13)</f>
        <v/>
      </c>
      <c r="E4" s="97" t="str">
        <f>IF(CAPA!E16="","",CAPA!E16)</f>
        <v/>
      </c>
      <c r="F4" s="97" t="str">
        <f>IF(CAPA!E17="","",CAPA!E17)</f>
        <v/>
      </c>
      <c r="G4" s="89" t="str">
        <f>IF(DADOS!F24="","",DADOS!F24)</f>
        <v/>
      </c>
      <c r="H4" s="90" t="str">
        <f>IF(DADOS!E8="","",E8)</f>
        <v/>
      </c>
      <c r="I4" s="90">
        <f>IF(CAPA!E22="","",E22)</f>
        <v>0</v>
      </c>
      <c r="J4" s="97" t="str">
        <f>IF(DADOS!M8="","",M8)</f>
        <v/>
      </c>
      <c r="K4" s="51" t="str">
        <f>IF(DADOS!K8="","",K8)</f>
        <v/>
      </c>
      <c r="L4" s="97" t="str">
        <f>IF(AND(DADOS!F15="",DADOS!G17="",),"",IF(DADOS!G17&lt;&gt;"",G17,IF(DADOS!F15&lt;&gt;"",F15,"")))</f>
        <v/>
      </c>
      <c r="M4" s="51" t="str">
        <f>IF(AND(DADOS!P15="",DADOS!N17=""),"",IF(DADOS!N17&lt;&gt;"",N17,IF(DADOS!P15&lt;&gt;"",P15,"")))</f>
        <v/>
      </c>
      <c r="N4" s="97" t="str">
        <f>IF(DADOS!P8="","",DADOS!P8)</f>
        <v/>
      </c>
      <c r="O4" s="51" t="str">
        <f>IF(CAPA!E23="","",E23)</f>
        <v/>
      </c>
      <c r="P4" s="91">
        <v>45987</v>
      </c>
      <c r="Q4" s="55">
        <v>45987</v>
      </c>
      <c r="R4" s="55">
        <v>45987</v>
      </c>
      <c r="S4" s="1" t="s">
        <v>266</v>
      </c>
      <c r="T4" s="1" t="s">
        <v>267</v>
      </c>
    </row>
    <row r="5" spans="1:20" x14ac:dyDescent="0.25">
      <c r="A5" s="55"/>
      <c r="B5" s="104"/>
      <c r="C5" s="104"/>
      <c r="D5" s="104"/>
      <c r="E5" s="104"/>
      <c r="F5" s="104"/>
      <c r="G5" s="55"/>
      <c r="H5" s="105"/>
      <c r="I5" s="105"/>
      <c r="J5" s="104"/>
      <c r="L5" s="104"/>
      <c r="N5" s="104"/>
      <c r="P5" s="91"/>
      <c r="Q5" s="55"/>
      <c r="R5" s="55"/>
    </row>
    <row r="6" spans="1:20" x14ac:dyDescent="0.25">
      <c r="A6" s="112" t="s">
        <v>294</v>
      </c>
      <c r="B6" s="112"/>
      <c r="C6" s="112"/>
      <c r="D6" s="112"/>
      <c r="E6" s="112"/>
      <c r="F6" s="112"/>
      <c r="G6" s="112"/>
      <c r="H6" s="112"/>
      <c r="I6" s="112"/>
      <c r="J6" s="112"/>
      <c r="K6" s="112"/>
      <c r="L6" s="112"/>
      <c r="M6" s="112"/>
      <c r="N6" s="112"/>
      <c r="O6" s="112"/>
      <c r="P6" s="112"/>
    </row>
    <row r="7" spans="1:20" ht="30" x14ac:dyDescent="0.25">
      <c r="A7" s="92" t="s">
        <v>255</v>
      </c>
      <c r="B7" s="93" t="s">
        <v>260</v>
      </c>
      <c r="C7" s="92" t="s">
        <v>268</v>
      </c>
      <c r="D7" s="92" t="s">
        <v>257</v>
      </c>
      <c r="E7" s="92" t="s">
        <v>256</v>
      </c>
      <c r="F7" s="93" t="s">
        <v>269</v>
      </c>
      <c r="G7" s="92" t="s">
        <v>262</v>
      </c>
      <c r="H7" s="92" t="s">
        <v>263</v>
      </c>
      <c r="I7" s="92" t="s">
        <v>17</v>
      </c>
      <c r="J7" s="94" t="s">
        <v>270</v>
      </c>
      <c r="K7" s="94" t="s">
        <v>265</v>
      </c>
      <c r="L7" s="92" t="s">
        <v>271</v>
      </c>
      <c r="M7" s="92" t="s">
        <v>272</v>
      </c>
      <c r="N7" s="92" t="s">
        <v>273</v>
      </c>
      <c r="O7" s="92" t="s">
        <v>274</v>
      </c>
      <c r="P7" s="92" t="s">
        <v>275</v>
      </c>
    </row>
    <row r="8" spans="1:20" x14ac:dyDescent="0.25">
      <c r="A8" s="51">
        <f>IFERROR(DADOS!D4,"")</f>
        <v>0</v>
      </c>
      <c r="B8" s="51">
        <f>IFERROR(DADOS!J8,"")</f>
        <v>0</v>
      </c>
      <c r="C8" s="51">
        <f>IFERROR(DADOS!L4,"")</f>
        <v>0</v>
      </c>
      <c r="D8" s="51">
        <f>IFERROR(DADOS!K4,"")</f>
        <v>0</v>
      </c>
      <c r="E8" s="51">
        <f>IFERROR(DADOS!E4,"")</f>
        <v>0</v>
      </c>
      <c r="F8" s="51">
        <f>IFERROR(DADOS!J8,"")</f>
        <v>0</v>
      </c>
      <c r="G8" s="51" t="str">
        <f>IFERROR(IF(IF(DADOS!Q17&lt;&gt;"",DADOS!Q17,DADOS!Q15)=FALSE,"",IF(DADOS!Q17&lt;&gt;"",DADOS!Q17,DADOS!Q15)),"")</f>
        <v/>
      </c>
      <c r="H8" s="51">
        <f>IFERROR(DADOS!K8,"")</f>
        <v>0</v>
      </c>
      <c r="I8" s="51">
        <f>IFERROR(DADOS!N8,"")</f>
        <v>0</v>
      </c>
      <c r="J8" s="51">
        <f>IFERROR(DADOS!N8,"")</f>
        <v>0</v>
      </c>
      <c r="K8" s="51">
        <f>IFERROR(DADOS!O8,"")</f>
        <v>0</v>
      </c>
      <c r="L8" s="51"/>
      <c r="M8" s="51"/>
      <c r="N8" s="51"/>
      <c r="O8" s="51"/>
      <c r="P8" s="51"/>
    </row>
    <row r="9" spans="1:20" x14ac:dyDescent="0.25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</row>
    <row r="10" spans="1:20" x14ac:dyDescent="0.25">
      <c r="A10" s="84"/>
      <c r="C10"/>
      <c r="D10"/>
      <c r="E10"/>
      <c r="F10"/>
      <c r="G10"/>
      <c r="H10"/>
      <c r="I10"/>
      <c r="J10"/>
      <c r="K10"/>
      <c r="L10"/>
      <c r="M10"/>
      <c r="N10"/>
      <c r="O10"/>
      <c r="P10"/>
    </row>
    <row r="11" spans="1:20" x14ac:dyDescent="0.25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20" x14ac:dyDescent="0.25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20" x14ac:dyDescent="0.25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20" x14ac:dyDescent="0.25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 s="95"/>
      <c r="P14"/>
    </row>
    <row r="15" spans="1:20" x14ac:dyDescent="0.25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20" x14ac:dyDescent="0.25">
      <c r="A16" s="117" t="s">
        <v>276</v>
      </c>
      <c r="B16" s="117"/>
      <c r="C16" s="117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x14ac:dyDescent="0.25">
      <c r="A17" s="96" t="s">
        <v>86</v>
      </c>
      <c r="B17" s="115" t="str">
        <f>IFERROR(VLOOKUP(DADOS!E4,LOJAS!C:D,2,0),"")</f>
        <v/>
      </c>
      <c r="C17" s="116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x14ac:dyDescent="0.25">
      <c r="A18" s="96" t="s">
        <v>277</v>
      </c>
      <c r="B18" s="118">
        <f>IFERROR(DADOS!C8,"")</f>
        <v>0</v>
      </c>
      <c r="C18" s="119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x14ac:dyDescent="0.25">
      <c r="A19" s="96" t="s">
        <v>278</v>
      </c>
      <c r="B19" s="120">
        <f>IFERROR(DADOS!E8,"")</f>
        <v>0</v>
      </c>
      <c r="C19" s="121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x14ac:dyDescent="0.25">
      <c r="A20" s="96" t="s">
        <v>279</v>
      </c>
      <c r="B20" s="115">
        <f>VALUE(DADOS!B27)</f>
        <v>0</v>
      </c>
      <c r="C20" s="116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x14ac:dyDescent="0.25">
      <c r="A21" s="96" t="s">
        <v>270</v>
      </c>
      <c r="B21" s="115">
        <f>IFERROR(DADOS!N8,"")</f>
        <v>0</v>
      </c>
      <c r="C21" s="116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x14ac:dyDescent="0.25">
      <c r="A22" s="96" t="s">
        <v>280</v>
      </c>
      <c r="B22" s="113" t="str">
        <f>DADOS!F2</f>
        <v/>
      </c>
      <c r="C22" s="114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x14ac:dyDescent="0.25">
      <c r="A23" s="96" t="s">
        <v>281</v>
      </c>
      <c r="B23" s="115" t="str">
        <f>DADOS!E20</f>
        <v/>
      </c>
      <c r="C23" s="116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x14ac:dyDescent="0.25">
      <c r="A24" s="96" t="s">
        <v>282</v>
      </c>
      <c r="B24" s="115" t="str">
        <f>IFERROR(IF(IF(DADOS!Q17&lt;&gt;"",DADOS!Q17,DADOS!Q15)=FALSE,"",IF(DADOS!Q17&lt;&gt;"",DADOS!Q17,DADOS!Q15)),"")</f>
        <v/>
      </c>
      <c r="C24" s="116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x14ac:dyDescent="0.25">
      <c r="A25" s="96" t="s">
        <v>283</v>
      </c>
      <c r="B25" s="115">
        <f>IFERROR(DADOS!D4,"")</f>
        <v>0</v>
      </c>
      <c r="C25" s="116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x14ac:dyDescent="0.25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</sheetData>
  <mergeCells count="12">
    <mergeCell ref="B25:C25"/>
    <mergeCell ref="A16:C16"/>
    <mergeCell ref="B17:C17"/>
    <mergeCell ref="B18:C18"/>
    <mergeCell ref="B19:C19"/>
    <mergeCell ref="B20:C20"/>
    <mergeCell ref="B21:C21"/>
    <mergeCell ref="A2:T2"/>
    <mergeCell ref="A6:P6"/>
    <mergeCell ref="B22:C22"/>
    <mergeCell ref="B23:C23"/>
    <mergeCell ref="B24:C24"/>
  </mergeCells>
  <conditionalFormatting sqref="A7:P7">
    <cfRule type="containsText" dxfId="14" priority="1" operator="containsText" text="VERDECARD">
      <formula>NOT(ISERROR(SEARCH("VERDECARD",A7)))</formula>
    </cfRule>
    <cfRule type="containsText" dxfId="13" priority="2" operator="containsText" text="BANRICOMPRAS">
      <formula>NOT(ISERROR(SEARCH("BANRICOMPRAS",A7)))</formula>
    </cfRule>
  </conditionalFormatting>
  <pageMargins left="0.511811024" right="0.511811024" top="0.78740157499999996" bottom="0.78740157499999996" header="0.31496062000000002" footer="0.31496062000000002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Button 1">
              <controlPr defaultSize="0" print="0" autoFill="0" autoPict="0" macro="[0]!InserirData1">
                <anchor moveWithCells="1" sizeWithCells="1">
                  <from>
                    <xdr:col>15</xdr:col>
                    <xdr:colOff>104775</xdr:colOff>
                    <xdr:row>2</xdr:row>
                    <xdr:rowOff>76200</xdr:rowOff>
                  </from>
                  <to>
                    <xdr:col>15</xdr:col>
                    <xdr:colOff>1581150</xdr:colOff>
                    <xdr:row>2</xdr:row>
                    <xdr:rowOff>314325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" r:id="rId4" name="Button 2">
              <controlPr defaultSize="0" print="0" autoFill="0" autoPict="0" macro="[0]!InserirData2">
                <anchor moveWithCells="1" sizeWithCells="1">
                  <from>
                    <xdr:col>16</xdr:col>
                    <xdr:colOff>104775</xdr:colOff>
                    <xdr:row>2</xdr:row>
                    <xdr:rowOff>95250</xdr:rowOff>
                  </from>
                  <to>
                    <xdr:col>17</xdr:col>
                    <xdr:colOff>0</xdr:colOff>
                    <xdr:row>2</xdr:row>
                    <xdr:rowOff>323850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InserirData3">
                <anchor moveWithCells="1" sizeWithCells="1">
                  <from>
                    <xdr:col>17</xdr:col>
                    <xdr:colOff>57150</xdr:colOff>
                    <xdr:row>2</xdr:row>
                    <xdr:rowOff>123825</xdr:rowOff>
                  </from>
                  <to>
                    <xdr:col>17</xdr:col>
                    <xdr:colOff>1704975</xdr:colOff>
                    <xdr:row>2</xdr:row>
                    <xdr:rowOff>361950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4"/>
  <dimension ref="A1:Q21"/>
  <sheetViews>
    <sheetView showGridLines="0" zoomScale="80" zoomScaleNormal="80" workbookViewId="0">
      <selection activeCell="I5" sqref="I5"/>
    </sheetView>
  </sheetViews>
  <sheetFormatPr defaultRowHeight="15" x14ac:dyDescent="0.25"/>
  <cols>
    <col min="1" max="1" width="5.42578125" customWidth="1"/>
    <col min="2" max="2" width="17.42578125" customWidth="1"/>
    <col min="3" max="3" width="13.42578125" bestFit="1" customWidth="1"/>
    <col min="4" max="4" width="17.7109375" customWidth="1"/>
    <col min="5" max="5" width="15.5703125" style="14" bestFit="1" customWidth="1"/>
    <col min="6" max="6" width="15.42578125" style="14" customWidth="1"/>
    <col min="7" max="7" width="32.5703125" customWidth="1"/>
    <col min="8" max="8" width="15.5703125" bestFit="1" customWidth="1"/>
    <col min="9" max="9" width="30.5703125" customWidth="1"/>
    <col min="10" max="10" width="29" customWidth="1"/>
    <col min="11" max="11" width="15" bestFit="1" customWidth="1"/>
    <col min="12" max="12" width="16.28515625" customWidth="1"/>
    <col min="13" max="13" width="11.7109375" customWidth="1"/>
    <col min="14" max="14" width="24.42578125" customWidth="1"/>
    <col min="17" max="17" width="11.7109375" bestFit="1" customWidth="1"/>
    <col min="20" max="20" width="10.85546875" bestFit="1" customWidth="1"/>
  </cols>
  <sheetData>
    <row r="1" spans="1:17" ht="15.75" thickBot="1" x14ac:dyDescent="0.3">
      <c r="I1" s="15"/>
      <c r="M1" s="16"/>
      <c r="N1" s="16"/>
      <c r="O1" s="16"/>
      <c r="P1" s="16"/>
      <c r="Q1" s="16"/>
    </row>
    <row r="2" spans="1:17" ht="27" thickBot="1" x14ac:dyDescent="0.3">
      <c r="A2" s="17"/>
      <c r="B2" s="123" t="s">
        <v>201</v>
      </c>
      <c r="C2" s="124"/>
      <c r="D2" s="124"/>
      <c r="E2" s="124"/>
      <c r="F2" s="124"/>
      <c r="G2" s="125"/>
      <c r="H2" s="18"/>
      <c r="I2" s="126" t="s">
        <v>202</v>
      </c>
      <c r="J2" s="126"/>
      <c r="K2" s="126"/>
      <c r="L2" s="126"/>
      <c r="M2" s="16"/>
      <c r="N2" s="16"/>
      <c r="O2" s="19">
        <v>1</v>
      </c>
      <c r="P2" s="19">
        <v>1</v>
      </c>
      <c r="Q2" s="19" t="s">
        <v>203</v>
      </c>
    </row>
    <row r="3" spans="1:17" ht="45" customHeight="1" x14ac:dyDescent="0.25">
      <c r="A3" s="20"/>
      <c r="B3" s="21" t="s">
        <v>204</v>
      </c>
      <c r="C3" s="21" t="s">
        <v>205</v>
      </c>
      <c r="D3" s="21" t="s">
        <v>206</v>
      </c>
      <c r="E3" s="21" t="s">
        <v>207</v>
      </c>
      <c r="F3" s="21" t="s">
        <v>208</v>
      </c>
      <c r="G3" s="21" t="s">
        <v>209</v>
      </c>
      <c r="H3" s="18"/>
      <c r="I3" s="127" t="s">
        <v>210</v>
      </c>
      <c r="J3" s="127"/>
      <c r="K3" s="127"/>
      <c r="L3" s="127"/>
      <c r="M3" s="16"/>
      <c r="N3" s="16"/>
      <c r="O3" s="19">
        <v>2</v>
      </c>
      <c r="P3" s="19">
        <v>2</v>
      </c>
      <c r="Q3" s="19" t="s">
        <v>211</v>
      </c>
    </row>
    <row r="4" spans="1:17" ht="26.25" x14ac:dyDescent="0.25">
      <c r="A4" s="17"/>
      <c r="B4" s="22" t="s">
        <v>212</v>
      </c>
      <c r="C4" s="60"/>
      <c r="D4" s="23">
        <f>ROUND(VALUE(C4)/E4,2)</f>
        <v>0</v>
      </c>
      <c r="E4" s="22">
        <v>30</v>
      </c>
      <c r="F4" s="22" t="s">
        <v>213</v>
      </c>
      <c r="G4" s="22" t="s">
        <v>214</v>
      </c>
      <c r="H4" s="18"/>
      <c r="I4" s="59" t="s">
        <v>220</v>
      </c>
      <c r="J4" s="18"/>
      <c r="K4" s="18"/>
      <c r="L4" s="18"/>
      <c r="M4" s="16"/>
      <c r="N4" s="16"/>
      <c r="O4" s="19">
        <v>3</v>
      </c>
      <c r="P4" s="19">
        <v>5</v>
      </c>
      <c r="Q4" s="19" t="s">
        <v>211</v>
      </c>
    </row>
    <row r="5" spans="1:17" ht="26.25" x14ac:dyDescent="0.25">
      <c r="A5" s="24"/>
      <c r="B5" s="22" t="s">
        <v>215</v>
      </c>
      <c r="C5" s="60"/>
      <c r="D5" s="23">
        <f>ROUND(VALUE(C5)/3,2)</f>
        <v>0</v>
      </c>
      <c r="E5" s="22">
        <v>3</v>
      </c>
      <c r="F5" s="22" t="s">
        <v>216</v>
      </c>
      <c r="G5" s="22" t="s">
        <v>217</v>
      </c>
      <c r="H5" s="18"/>
      <c r="I5" s="58">
        <f>VLOOKUP(I4,LOJAS!H3:I7,2,0)</f>
        <v>4</v>
      </c>
      <c r="J5" s="40">
        <f>SUM(J13,G10)</f>
        <v>0</v>
      </c>
      <c r="K5" s="18"/>
      <c r="L5" s="18"/>
      <c r="M5" s="16"/>
      <c r="N5" s="16"/>
      <c r="O5" s="19">
        <v>6</v>
      </c>
      <c r="P5" s="19">
        <v>6</v>
      </c>
      <c r="Q5" s="19" t="s">
        <v>218</v>
      </c>
    </row>
    <row r="6" spans="1:17" x14ac:dyDescent="0.25">
      <c r="A6" s="25"/>
      <c r="B6" s="22" t="s">
        <v>219</v>
      </c>
      <c r="C6" s="60"/>
      <c r="D6" s="23">
        <f>ROUND(VALUE(C6)/6,2)</f>
        <v>0</v>
      </c>
      <c r="E6" s="22">
        <v>6</v>
      </c>
      <c r="F6" s="22" t="s">
        <v>216</v>
      </c>
      <c r="G6" s="22" t="s">
        <v>217</v>
      </c>
      <c r="H6" s="18"/>
      <c r="I6" s="18"/>
      <c r="J6" s="18"/>
      <c r="K6" s="18"/>
      <c r="L6" s="18"/>
      <c r="M6" s="16"/>
      <c r="N6" s="16"/>
      <c r="O6" s="19">
        <v>7</v>
      </c>
      <c r="P6" s="19">
        <v>12</v>
      </c>
      <c r="Q6" s="19" t="s">
        <v>220</v>
      </c>
    </row>
    <row r="7" spans="1:17" x14ac:dyDescent="0.25">
      <c r="A7" s="25"/>
      <c r="B7" s="22" t="s">
        <v>221</v>
      </c>
      <c r="C7" s="57"/>
      <c r="D7" s="23">
        <f>ROUND(VALUE(C7)/12,2)</f>
        <v>0</v>
      </c>
      <c r="E7" s="22">
        <v>12</v>
      </c>
      <c r="F7" s="22" t="s">
        <v>216</v>
      </c>
      <c r="G7" s="22" t="s">
        <v>217</v>
      </c>
      <c r="H7" s="18"/>
      <c r="I7" s="18"/>
      <c r="J7" s="18"/>
      <c r="K7" s="18"/>
      <c r="L7" s="18"/>
      <c r="M7" s="16"/>
      <c r="N7" s="16"/>
      <c r="O7" s="16"/>
      <c r="P7" s="16"/>
      <c r="Q7" s="16"/>
    </row>
    <row r="8" spans="1:17" x14ac:dyDescent="0.25">
      <c r="A8" s="1"/>
      <c r="B8" s="18"/>
      <c r="C8" s="18"/>
      <c r="D8" s="18"/>
      <c r="E8" s="1"/>
      <c r="F8" s="1"/>
      <c r="G8" s="18"/>
      <c r="H8" s="18"/>
      <c r="I8" s="18"/>
      <c r="J8" s="18"/>
      <c r="K8" s="18"/>
      <c r="L8" s="18"/>
      <c r="M8" s="16"/>
      <c r="N8" s="16"/>
      <c r="O8" s="16"/>
      <c r="P8" s="16"/>
      <c r="Q8" s="16"/>
    </row>
    <row r="9" spans="1:17" ht="45" customHeight="1" x14ac:dyDescent="0.25">
      <c r="A9" s="24"/>
      <c r="B9" s="26" t="s">
        <v>203</v>
      </c>
      <c r="C9" s="26" t="s">
        <v>222</v>
      </c>
      <c r="D9" s="26" t="s">
        <v>231</v>
      </c>
      <c r="E9" s="26" t="s">
        <v>239</v>
      </c>
      <c r="F9" s="26" t="s">
        <v>240</v>
      </c>
      <c r="G9" s="26" t="str">
        <f>IF(G10&gt;=0, "Devolução ao Cliente","Gerar Nota de Crédito")</f>
        <v>Devolução ao Cliente</v>
      </c>
      <c r="H9" s="18"/>
      <c r="J9" s="27"/>
      <c r="K9" s="27"/>
      <c r="L9" s="18"/>
      <c r="M9" s="16"/>
      <c r="N9" s="16"/>
      <c r="O9" s="16"/>
      <c r="P9" s="16"/>
      <c r="Q9" s="16"/>
    </row>
    <row r="10" spans="1:17" x14ac:dyDescent="0.25">
      <c r="A10" s="28"/>
      <c r="B10" s="29"/>
      <c r="C10" s="30"/>
      <c r="D10" s="30"/>
      <c r="E10" s="31" t="str">
        <f>IF(D10="","",IFERROR(D10-C10,""))</f>
        <v/>
      </c>
      <c r="F10" s="32" t="str">
        <f>IF(D10="","",IFERROR(D4*E10,""))</f>
        <v/>
      </c>
      <c r="G10" s="32" t="str">
        <f>IF(D10="","",IFERROR(C4-F10,""))</f>
        <v/>
      </c>
      <c r="H10" s="128"/>
      <c r="I10" s="129"/>
      <c r="J10" s="18"/>
      <c r="K10" s="18"/>
      <c r="L10" s="18"/>
      <c r="M10" s="16"/>
      <c r="N10" s="16"/>
      <c r="O10" s="16"/>
      <c r="P10" s="16"/>
      <c r="Q10" s="16"/>
    </row>
    <row r="11" spans="1:17" x14ac:dyDescent="0.25">
      <c r="A11" s="28"/>
      <c r="B11" s="18"/>
      <c r="C11" s="28"/>
      <c r="D11" s="33"/>
      <c r="E11" s="34"/>
      <c r="F11" s="35"/>
      <c r="G11" s="28"/>
      <c r="H11" s="36"/>
      <c r="I11" s="15"/>
      <c r="J11" s="36"/>
      <c r="K11" s="36"/>
      <c r="L11" s="61" t="s">
        <v>228</v>
      </c>
      <c r="M11" s="16"/>
      <c r="N11" s="16"/>
      <c r="O11" s="16"/>
      <c r="P11" s="16"/>
      <c r="Q11" s="16"/>
    </row>
    <row r="12" spans="1:17" ht="45" customHeight="1" x14ac:dyDescent="0.25">
      <c r="A12" s="37" t="str">
        <f>IF(A13=1,"Trimestral",IF(A13=2,"Semestral",IF(A13=3,"Anual","")))</f>
        <v>Anual</v>
      </c>
      <c r="B12" s="26" t="s">
        <v>223</v>
      </c>
      <c r="C12" s="26" t="s">
        <v>232</v>
      </c>
      <c r="D12" s="38" t="s">
        <v>231</v>
      </c>
      <c r="E12" s="26" t="s">
        <v>230</v>
      </c>
      <c r="F12" s="26" t="s">
        <v>233</v>
      </c>
      <c r="G12" s="26" t="s">
        <v>234</v>
      </c>
      <c r="H12" s="26" t="s">
        <v>224</v>
      </c>
      <c r="I12" s="26" t="s">
        <v>241</v>
      </c>
      <c r="J12" s="26" t="str">
        <f>IF(IFERROR(IF(J13&lt;=0,"Valor a receber do cliente",IF(J13&gt;0,"Valor a devolver para o cliente")),"")=FALSE,"",IFERROR(IF(J13&lt;=0,"Valor a receber do cliente",IF(J13&gt;0,"Valor a devolver para o cliente")),""))</f>
        <v>Valor a receber do cliente</v>
      </c>
      <c r="K12" s="18"/>
      <c r="L12" s="130" t="s">
        <v>225</v>
      </c>
      <c r="M12" s="131"/>
    </row>
    <row r="13" spans="1:17" x14ac:dyDescent="0.25">
      <c r="A13" s="19">
        <f>IFERROR(IF(I5=2,1,IF(I5=3,2,IF(I5=4,3))),"")</f>
        <v>3</v>
      </c>
      <c r="B13" s="22" t="str">
        <f>A12</f>
        <v>Anual</v>
      </c>
      <c r="C13" s="30">
        <v>45870</v>
      </c>
      <c r="D13" s="30">
        <v>46006</v>
      </c>
      <c r="E13" s="31">
        <f>IFERROR(IF(AND(C13="", D13=""), "", SUM(DATEDIF(C13,D13,"M")+1)),"")</f>
        <v>5</v>
      </c>
      <c r="F13" s="39">
        <f>IF(D13="","",IFERROR(IF(A12="TRIMESTRAL",C4-D5,IF(A12="SEMESTRAL",C4-D6,IF(A12="ANUAL",C4-D7))),""))</f>
        <v>0</v>
      </c>
      <c r="G13" s="39">
        <f>IFERROR(F13*E13,"")</f>
        <v>0</v>
      </c>
      <c r="H13" s="40">
        <f>IFERROR(IF(A12="TRIMESTRAL",D5*E13,IF(A12="SEMESTRAL",D6*E13,IF(A12="ANUAL",D7*E13))),"")</f>
        <v>0</v>
      </c>
      <c r="I13" s="41">
        <f>IFERROR(IF(L13="Não", 0, G13+H13),"")</f>
        <v>0</v>
      </c>
      <c r="J13" s="41">
        <f>IFERROR(IF(L13=2,IF(A12="trimestral",C5-H13,IF(A12="semestral",C6-H13,IF(A12="anual",C7-H13))),IF(A12="trimestral",C5-I13,IF(A12="semestral",C6-I13,IF(A12="anual",C7-I13)))),"")</f>
        <v>0</v>
      </c>
      <c r="K13" s="18"/>
      <c r="L13" s="132">
        <f>IFERROR(VLOOKUP(L11,LOJAS!K3:L4,2,0),"")</f>
        <v>1</v>
      </c>
      <c r="M13" s="132"/>
    </row>
    <row r="14" spans="1:17" ht="15" customHeight="1" x14ac:dyDescent="0.25">
      <c r="A14" s="1"/>
      <c r="B14" s="18"/>
      <c r="C14" s="18"/>
      <c r="D14" s="18"/>
      <c r="E14" s="1"/>
      <c r="F14" s="1"/>
      <c r="G14" s="18"/>
      <c r="H14" s="42"/>
      <c r="J14" s="122"/>
      <c r="K14" s="122"/>
      <c r="L14" s="122"/>
    </row>
    <row r="15" spans="1:17" x14ac:dyDescent="0.25">
      <c r="A15" s="1"/>
      <c r="B15" s="18"/>
      <c r="C15" s="18"/>
      <c r="D15" s="18"/>
      <c r="E15" s="1"/>
      <c r="F15" s="1"/>
      <c r="G15" s="18"/>
      <c r="H15" s="18"/>
      <c r="I15" s="18"/>
      <c r="J15" s="122"/>
      <c r="K15" s="122"/>
      <c r="L15" s="122"/>
    </row>
    <row r="16" spans="1:17" ht="15.75" thickBot="1" x14ac:dyDescent="0.3">
      <c r="A16" s="1"/>
      <c r="B16" s="18"/>
      <c r="C16" s="18"/>
      <c r="D16" s="18"/>
      <c r="E16" s="1"/>
      <c r="F16" s="1"/>
      <c r="G16" s="18"/>
      <c r="H16" s="18"/>
      <c r="I16" s="18"/>
      <c r="J16" s="18"/>
      <c r="K16" s="18"/>
      <c r="L16" s="18"/>
    </row>
    <row r="17" spans="1:14" ht="27" customHeight="1" thickBot="1" x14ac:dyDescent="0.3">
      <c r="A17" s="24"/>
      <c r="B17" s="123" t="s">
        <v>226</v>
      </c>
      <c r="C17" s="124"/>
      <c r="D17" s="124"/>
      <c r="E17" s="124"/>
      <c r="F17" s="124"/>
      <c r="G17" s="124"/>
      <c r="H17" s="124"/>
      <c r="I17" s="124"/>
      <c r="J17" s="43"/>
      <c r="K17" s="44"/>
      <c r="L17" s="44"/>
    </row>
    <row r="18" spans="1:14" ht="45" x14ac:dyDescent="0.25">
      <c r="A18" s="37" t="str">
        <f>IF(A19=1,"trimestral",IF(A19=2,"semestral",IF(A19=3,"anual","")))</f>
        <v>anual</v>
      </c>
      <c r="B18" s="21" t="s">
        <v>223</v>
      </c>
      <c r="C18" s="21" t="s">
        <v>232</v>
      </c>
      <c r="D18" s="21" t="s">
        <v>231</v>
      </c>
      <c r="E18" s="21" t="s">
        <v>235</v>
      </c>
      <c r="F18" s="21" t="s">
        <v>230</v>
      </c>
      <c r="G18" s="21" t="s">
        <v>236</v>
      </c>
      <c r="H18" s="21" t="s">
        <v>237</v>
      </c>
      <c r="I18" s="21" t="s">
        <v>238</v>
      </c>
      <c r="K18" s="45"/>
      <c r="L18" s="45"/>
    </row>
    <row r="19" spans="1:14" x14ac:dyDescent="0.25">
      <c r="A19" s="46">
        <f>VLOOKUP(A20,LOJAS!H4:J6,3,0)</f>
        <v>3</v>
      </c>
      <c r="B19" s="47"/>
      <c r="C19" s="48"/>
      <c r="D19" s="49"/>
      <c r="E19" s="50">
        <f>IF(A19=1,VLOOKUP("Trimestral",B4:C7,2,0),IF(A19=2,VLOOKUP("Semestral",B4:C7,2,0),IF(A19=3,VLOOKUP("Anual",B4:C7,2,0))))</f>
        <v>0</v>
      </c>
      <c r="F19" s="51" t="str">
        <f>IFERROR(IF(AND(C19="", D19=""), "", SUM(DATEDIF(C19,D19,"M")+1)),"")</f>
        <v/>
      </c>
      <c r="G19" s="39">
        <f>IFERROR(IF(A18="TRIMESTRAL",C4-D5,IF(A18="SEMESTRAL",C4-D6,IF(A18="ANUAL",C4-D7))),"")</f>
        <v>0</v>
      </c>
      <c r="H19" s="39" t="str">
        <f>IFERROR(G19*F19,"")</f>
        <v/>
      </c>
      <c r="I19" s="40" t="str">
        <f>IFERROR(IF(A18="TRIMESTRAL",D5*F19,IF(A18="SEMESTRAL",D6*F19,IF(A18="ANUAL",D7*F19))),"")</f>
        <v/>
      </c>
      <c r="K19" s="52"/>
      <c r="L19" s="53"/>
      <c r="M19" s="122"/>
      <c r="N19" s="122"/>
    </row>
    <row r="20" spans="1:14" x14ac:dyDescent="0.25">
      <c r="A20" t="s">
        <v>220</v>
      </c>
      <c r="D20" s="54"/>
    </row>
    <row r="21" spans="1:14" x14ac:dyDescent="0.25">
      <c r="D21" s="54"/>
    </row>
  </sheetData>
  <mergeCells count="9">
    <mergeCell ref="J14:L15"/>
    <mergeCell ref="B17:I17"/>
    <mergeCell ref="M19:N19"/>
    <mergeCell ref="B2:G2"/>
    <mergeCell ref="I2:L2"/>
    <mergeCell ref="I3:L3"/>
    <mergeCell ref="H10:I10"/>
    <mergeCell ref="L12:M12"/>
    <mergeCell ref="L13:M13"/>
  </mergeCells>
  <conditionalFormatting sqref="B16:N16 B14:H14 J14 L17:N17 K18:N19 B12:N13 B15:I15 M14:N15 B17:I19">
    <cfRule type="expression" dxfId="12" priority="10">
      <formula>$I$5=1</formula>
    </cfRule>
  </conditionalFormatting>
  <conditionalFormatting sqref="L17:N17 K18:N19 B17:I19 B9:G10">
    <cfRule type="expression" dxfId="11" priority="7">
      <formula>$I$5=4</formula>
    </cfRule>
    <cfRule type="expression" dxfId="10" priority="9">
      <formula>$I$5=2</formula>
    </cfRule>
  </conditionalFormatting>
  <conditionalFormatting sqref="H9 B11:J13 J9:J10 L12 B9:G10">
    <cfRule type="expression" dxfId="9" priority="6">
      <formula>$I$5=5</formula>
    </cfRule>
  </conditionalFormatting>
  <conditionalFormatting sqref="H10">
    <cfRule type="expression" dxfId="8" priority="5">
      <formula>$I$5=1</formula>
    </cfRule>
  </conditionalFormatting>
  <conditionalFormatting sqref="H10">
    <cfRule type="expression" dxfId="7" priority="2">
      <formula>$I$5=4</formula>
    </cfRule>
    <cfRule type="expression" dxfId="6" priority="3">
      <formula>$I$5=3</formula>
    </cfRule>
    <cfRule type="expression" dxfId="5" priority="4">
      <formula>$I$5=2</formula>
    </cfRule>
  </conditionalFormatting>
  <conditionalFormatting sqref="L13">
    <cfRule type="expression" dxfId="4" priority="1">
      <formula>I5=5</formula>
    </cfRule>
  </conditionalFormatting>
  <conditionalFormatting sqref="L17:N17 K18:N19 B17:I19 B9:G10">
    <cfRule type="expression" dxfId="3" priority="8">
      <formula>$I$5=3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I5 L13" unlocked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2"/>
  <dimension ref="B2:L62"/>
  <sheetViews>
    <sheetView workbookViewId="0">
      <selection activeCell="E38" sqref="E38"/>
    </sheetView>
  </sheetViews>
  <sheetFormatPr defaultColWidth="9.140625" defaultRowHeight="15" x14ac:dyDescent="0.25"/>
  <cols>
    <col min="1" max="1" width="9.140625" style="1"/>
    <col min="2" max="2" width="14.28515625" style="1" bestFit="1" customWidth="1"/>
    <col min="3" max="3" width="36" style="1" bestFit="1" customWidth="1"/>
    <col min="4" max="4" width="18" style="1" bestFit="1" customWidth="1"/>
    <col min="5" max="5" width="17.85546875" style="1" bestFit="1" customWidth="1"/>
    <col min="6" max="7" width="9.140625" style="1"/>
    <col min="8" max="8" width="13.5703125" style="1" bestFit="1" customWidth="1"/>
    <col min="9" max="14" width="9.140625" style="1"/>
    <col min="15" max="15" width="52.28515625" style="1" bestFit="1" customWidth="1"/>
    <col min="16" max="16" width="22.140625" style="1" bestFit="1" customWidth="1"/>
    <col min="17" max="17" width="14.28515625" style="1" bestFit="1" customWidth="1"/>
    <col min="18" max="16384" width="9.140625" style="1"/>
  </cols>
  <sheetData>
    <row r="2" spans="2:12" x14ac:dyDescent="0.25">
      <c r="B2" s="1" t="s">
        <v>84</v>
      </c>
      <c r="C2" s="1" t="s">
        <v>85</v>
      </c>
      <c r="D2" s="1" t="s">
        <v>86</v>
      </c>
      <c r="E2" s="1" t="s">
        <v>72</v>
      </c>
    </row>
    <row r="3" spans="2:12" x14ac:dyDescent="0.25">
      <c r="B3" s="1">
        <v>10</v>
      </c>
      <c r="C3" s="1" t="s">
        <v>91</v>
      </c>
      <c r="D3" s="1" t="s">
        <v>92</v>
      </c>
      <c r="E3" s="1">
        <v>1006957020</v>
      </c>
      <c r="H3" s="1" t="s">
        <v>203</v>
      </c>
      <c r="I3" s="1">
        <v>1</v>
      </c>
      <c r="K3" s="1" t="s">
        <v>228</v>
      </c>
      <c r="L3" s="1">
        <v>1</v>
      </c>
    </row>
    <row r="4" spans="2:12" x14ac:dyDescent="0.25">
      <c r="B4" s="1">
        <v>35</v>
      </c>
      <c r="C4" s="1" t="s">
        <v>137</v>
      </c>
      <c r="D4" s="1" t="s">
        <v>138</v>
      </c>
      <c r="E4" s="1">
        <v>2778065800</v>
      </c>
      <c r="H4" s="1" t="s">
        <v>211</v>
      </c>
      <c r="I4" s="1">
        <v>2</v>
      </c>
      <c r="J4" s="1">
        <v>1</v>
      </c>
      <c r="K4" s="1" t="s">
        <v>229</v>
      </c>
      <c r="L4" s="1">
        <v>2</v>
      </c>
    </row>
    <row r="5" spans="2:12" x14ac:dyDescent="0.25">
      <c r="B5" s="1">
        <v>12</v>
      </c>
      <c r="C5" s="1" t="s">
        <v>95</v>
      </c>
      <c r="D5" s="1" t="s">
        <v>96</v>
      </c>
      <c r="E5" s="1">
        <v>1006957003</v>
      </c>
      <c r="H5" s="1" t="s">
        <v>218</v>
      </c>
      <c r="I5" s="1">
        <v>3</v>
      </c>
      <c r="J5" s="1">
        <v>2</v>
      </c>
    </row>
    <row r="6" spans="2:12" x14ac:dyDescent="0.25">
      <c r="B6" s="1">
        <v>98</v>
      </c>
      <c r="C6" s="1" t="s">
        <v>196</v>
      </c>
      <c r="D6" s="1" t="s">
        <v>197</v>
      </c>
      <c r="E6" s="1">
        <v>2895942891</v>
      </c>
      <c r="H6" s="1" t="s">
        <v>220</v>
      </c>
      <c r="I6" s="1">
        <v>4</v>
      </c>
      <c r="J6" s="1">
        <v>3</v>
      </c>
    </row>
    <row r="7" spans="2:12" x14ac:dyDescent="0.25">
      <c r="B7" s="1">
        <v>36</v>
      </c>
      <c r="C7" s="1" t="s">
        <v>139</v>
      </c>
      <c r="D7" s="1" t="s">
        <v>140</v>
      </c>
      <c r="E7" s="1">
        <v>1006956740</v>
      </c>
      <c r="H7" s="1" t="s">
        <v>227</v>
      </c>
      <c r="I7" s="1">
        <v>5</v>
      </c>
    </row>
    <row r="8" spans="2:12" x14ac:dyDescent="0.25">
      <c r="B8" s="1">
        <v>13</v>
      </c>
      <c r="C8" s="1" t="s">
        <v>97</v>
      </c>
      <c r="D8" s="1" t="s">
        <v>98</v>
      </c>
      <c r="E8" s="1">
        <v>1015704848</v>
      </c>
    </row>
    <row r="9" spans="2:12" x14ac:dyDescent="0.25">
      <c r="B9" s="1">
        <v>14</v>
      </c>
      <c r="C9" s="1" t="s">
        <v>99</v>
      </c>
      <c r="D9" s="1" t="s">
        <v>100</v>
      </c>
      <c r="E9" s="1">
        <v>2778140896</v>
      </c>
    </row>
    <row r="10" spans="2:12" x14ac:dyDescent="0.25">
      <c r="B10" s="1">
        <v>15</v>
      </c>
      <c r="C10" s="1" t="s">
        <v>101</v>
      </c>
      <c r="D10" s="1" t="s">
        <v>102</v>
      </c>
      <c r="E10" s="1">
        <v>1014953569</v>
      </c>
    </row>
    <row r="11" spans="2:12" x14ac:dyDescent="0.25">
      <c r="B11" s="1">
        <v>62</v>
      </c>
      <c r="C11" s="1" t="s">
        <v>167</v>
      </c>
      <c r="D11" s="1" t="s">
        <v>168</v>
      </c>
      <c r="E11" s="1">
        <v>1034211312</v>
      </c>
    </row>
    <row r="12" spans="2:12" x14ac:dyDescent="0.25">
      <c r="B12" s="1">
        <v>41</v>
      </c>
      <c r="C12" s="1" t="s">
        <v>143</v>
      </c>
      <c r="D12" s="1" t="s">
        <v>144</v>
      </c>
      <c r="E12" s="1">
        <v>1015704988</v>
      </c>
    </row>
    <row r="13" spans="2:12" x14ac:dyDescent="0.25">
      <c r="B13" s="1">
        <v>61</v>
      </c>
      <c r="C13" s="1" t="s">
        <v>165</v>
      </c>
      <c r="D13" s="1" t="s">
        <v>166</v>
      </c>
      <c r="E13" s="1">
        <v>1059465350</v>
      </c>
    </row>
    <row r="14" spans="2:12" x14ac:dyDescent="0.25">
      <c r="B14" s="1">
        <v>16</v>
      </c>
      <c r="C14" s="1" t="s">
        <v>103</v>
      </c>
      <c r="D14" s="1" t="s">
        <v>104</v>
      </c>
      <c r="E14" s="1">
        <v>1006957046</v>
      </c>
    </row>
    <row r="15" spans="2:12" x14ac:dyDescent="0.25">
      <c r="B15" s="1">
        <v>17</v>
      </c>
      <c r="C15" s="1" t="s">
        <v>105</v>
      </c>
      <c r="D15" s="1" t="s">
        <v>106</v>
      </c>
      <c r="E15" s="1">
        <v>1006956937</v>
      </c>
    </row>
    <row r="16" spans="2:12" x14ac:dyDescent="0.25">
      <c r="B16" s="1">
        <v>63</v>
      </c>
      <c r="C16" s="1" t="s">
        <v>169</v>
      </c>
      <c r="D16" s="1" t="s">
        <v>170</v>
      </c>
      <c r="E16" s="1">
        <v>1034211290</v>
      </c>
    </row>
    <row r="17" spans="2:5" x14ac:dyDescent="0.25">
      <c r="B17" s="1">
        <v>60</v>
      </c>
      <c r="C17" s="1" t="s">
        <v>163</v>
      </c>
      <c r="D17" s="1" t="s">
        <v>164</v>
      </c>
      <c r="E17" s="1">
        <v>1040073198</v>
      </c>
    </row>
    <row r="18" spans="2:5" x14ac:dyDescent="0.25">
      <c r="B18" s="1">
        <v>11</v>
      </c>
      <c r="C18" s="1" t="s">
        <v>93</v>
      </c>
      <c r="D18" s="1" t="s">
        <v>94</v>
      </c>
      <c r="E18" s="1">
        <v>1034211282</v>
      </c>
    </row>
    <row r="19" spans="2:5" x14ac:dyDescent="0.25">
      <c r="B19" s="1">
        <v>18</v>
      </c>
      <c r="C19" s="1" t="s">
        <v>107</v>
      </c>
      <c r="D19" s="1" t="s">
        <v>108</v>
      </c>
      <c r="E19" s="1">
        <v>1006956929</v>
      </c>
    </row>
    <row r="20" spans="2:5" x14ac:dyDescent="0.25">
      <c r="B20" s="1">
        <v>19</v>
      </c>
      <c r="C20" s="1" t="s">
        <v>109</v>
      </c>
      <c r="D20" s="1" t="s">
        <v>110</v>
      </c>
      <c r="E20" s="1">
        <v>1006956910</v>
      </c>
    </row>
    <row r="21" spans="2:5" x14ac:dyDescent="0.25">
      <c r="B21" s="1">
        <v>45</v>
      </c>
      <c r="C21" s="1" t="s">
        <v>151</v>
      </c>
      <c r="D21" s="1" t="s">
        <v>152</v>
      </c>
      <c r="E21" s="1">
        <v>1012740967</v>
      </c>
    </row>
    <row r="22" spans="2:5" x14ac:dyDescent="0.25">
      <c r="B22" s="1">
        <v>64</v>
      </c>
      <c r="C22" s="1" t="s">
        <v>171</v>
      </c>
      <c r="D22" s="1" t="s">
        <v>172</v>
      </c>
      <c r="E22" s="1">
        <v>1043852465</v>
      </c>
    </row>
    <row r="23" spans="2:5" x14ac:dyDescent="0.25">
      <c r="B23" s="1">
        <v>47</v>
      </c>
      <c r="C23" s="1" t="s">
        <v>155</v>
      </c>
      <c r="D23" s="1" t="s">
        <v>156</v>
      </c>
      <c r="E23" s="1">
        <v>1013722784</v>
      </c>
    </row>
    <row r="24" spans="2:5" x14ac:dyDescent="0.25">
      <c r="B24" s="1">
        <v>46</v>
      </c>
      <c r="C24" s="1" t="s">
        <v>153</v>
      </c>
      <c r="D24" s="1" t="s">
        <v>154</v>
      </c>
      <c r="E24" s="1">
        <v>1020269011</v>
      </c>
    </row>
    <row r="25" spans="2:5" x14ac:dyDescent="0.25">
      <c r="B25" s="1">
        <v>20</v>
      </c>
      <c r="C25" s="1" t="s">
        <v>111</v>
      </c>
      <c r="D25" s="1" t="s">
        <v>112</v>
      </c>
      <c r="E25" s="1">
        <v>1012456444</v>
      </c>
    </row>
    <row r="26" spans="2:5" x14ac:dyDescent="0.25">
      <c r="B26" s="1">
        <v>77</v>
      </c>
      <c r="C26" s="1" t="s">
        <v>175</v>
      </c>
      <c r="D26" s="1" t="s">
        <v>176</v>
      </c>
      <c r="E26" s="1">
        <v>1067221201</v>
      </c>
    </row>
    <row r="27" spans="2:5" x14ac:dyDescent="0.25">
      <c r="C27" s="103" t="s">
        <v>290</v>
      </c>
      <c r="D27" s="103" t="s">
        <v>284</v>
      </c>
      <c r="E27" s="103">
        <v>2760786956</v>
      </c>
    </row>
    <row r="28" spans="2:5" x14ac:dyDescent="0.25">
      <c r="B28" s="1">
        <v>21</v>
      </c>
      <c r="C28" s="1" t="s">
        <v>113</v>
      </c>
      <c r="D28" s="1" t="s">
        <v>114</v>
      </c>
      <c r="E28" s="1">
        <v>1006963038</v>
      </c>
    </row>
    <row r="29" spans="2:5" x14ac:dyDescent="0.25">
      <c r="C29" s="1" t="s">
        <v>87</v>
      </c>
      <c r="D29" s="1" t="s">
        <v>88</v>
      </c>
      <c r="E29" s="1">
        <v>1006956708</v>
      </c>
    </row>
    <row r="30" spans="2:5" x14ac:dyDescent="0.25">
      <c r="B30" s="1">
        <v>44</v>
      </c>
      <c r="C30" s="1" t="s">
        <v>149</v>
      </c>
      <c r="D30" s="1" t="s">
        <v>150</v>
      </c>
      <c r="E30" s="1">
        <v>1012411971</v>
      </c>
    </row>
    <row r="31" spans="2:5" x14ac:dyDescent="0.25">
      <c r="C31" s="103" t="s">
        <v>291</v>
      </c>
      <c r="D31" s="103" t="s">
        <v>287</v>
      </c>
      <c r="E31" s="103">
        <v>2900505741</v>
      </c>
    </row>
    <row r="32" spans="2:5" x14ac:dyDescent="0.25">
      <c r="B32" s="1">
        <v>22</v>
      </c>
      <c r="C32" s="1" t="s">
        <v>115</v>
      </c>
      <c r="D32" s="1" t="s">
        <v>116</v>
      </c>
      <c r="E32" s="1">
        <v>1006956899</v>
      </c>
    </row>
    <row r="33" spans="2:5" x14ac:dyDescent="0.25">
      <c r="B33" s="1">
        <v>81</v>
      </c>
      <c r="C33" s="1" t="s">
        <v>177</v>
      </c>
      <c r="D33" s="1" t="s">
        <v>178</v>
      </c>
      <c r="E33" s="1">
        <v>1096168615</v>
      </c>
    </row>
    <row r="34" spans="2:5" x14ac:dyDescent="0.25">
      <c r="B34" s="1">
        <v>82</v>
      </c>
      <c r="C34" s="1" t="s">
        <v>179</v>
      </c>
      <c r="D34" s="1" t="s">
        <v>180</v>
      </c>
      <c r="E34" s="1">
        <v>1096168607</v>
      </c>
    </row>
    <row r="35" spans="2:5" x14ac:dyDescent="0.25">
      <c r="B35" s="1">
        <v>23</v>
      </c>
      <c r="C35" s="1" t="s">
        <v>117</v>
      </c>
      <c r="D35" s="1" t="s">
        <v>118</v>
      </c>
      <c r="E35" s="1">
        <v>1006963020</v>
      </c>
    </row>
    <row r="36" spans="2:5" x14ac:dyDescent="0.25">
      <c r="B36" s="1">
        <v>24</v>
      </c>
      <c r="C36" s="1" t="s">
        <v>119</v>
      </c>
      <c r="D36" s="1" t="s">
        <v>120</v>
      </c>
      <c r="E36" s="1">
        <v>1006956880</v>
      </c>
    </row>
    <row r="37" spans="2:5" x14ac:dyDescent="0.25">
      <c r="B37" s="1">
        <v>9</v>
      </c>
      <c r="C37" s="1" t="s">
        <v>89</v>
      </c>
      <c r="D37" s="1" t="s">
        <v>90</v>
      </c>
      <c r="E37" s="1">
        <v>1005526823</v>
      </c>
    </row>
    <row r="38" spans="2:5" x14ac:dyDescent="0.25">
      <c r="B38" s="1">
        <v>83</v>
      </c>
      <c r="C38" s="1" t="s">
        <v>181</v>
      </c>
      <c r="D38" s="1" t="s">
        <v>182</v>
      </c>
      <c r="E38" s="1">
        <v>2897596974</v>
      </c>
    </row>
    <row r="39" spans="2:5" x14ac:dyDescent="0.25">
      <c r="B39" s="1">
        <v>25</v>
      </c>
      <c r="C39" s="1" t="s">
        <v>121</v>
      </c>
      <c r="D39" s="1" t="s">
        <v>122</v>
      </c>
      <c r="E39" s="1">
        <v>1014327900</v>
      </c>
    </row>
    <row r="40" spans="2:5" x14ac:dyDescent="0.25">
      <c r="B40" s="1">
        <v>26</v>
      </c>
      <c r="C40" s="1" t="s">
        <v>123</v>
      </c>
      <c r="D40" s="1" t="s">
        <v>124</v>
      </c>
      <c r="E40" s="1">
        <v>1006956961</v>
      </c>
    </row>
    <row r="41" spans="2:5" x14ac:dyDescent="0.25">
      <c r="B41" s="1">
        <v>27</v>
      </c>
      <c r="C41" s="1" t="s">
        <v>125</v>
      </c>
      <c r="D41" s="1" t="s">
        <v>126</v>
      </c>
      <c r="E41" s="1">
        <v>1006957143</v>
      </c>
    </row>
    <row r="42" spans="2:5" x14ac:dyDescent="0.25">
      <c r="B42" s="1">
        <v>28</v>
      </c>
      <c r="C42" s="1" t="s">
        <v>127</v>
      </c>
      <c r="D42" s="1" t="s">
        <v>128</v>
      </c>
      <c r="E42" s="1">
        <v>1006957135</v>
      </c>
    </row>
    <row r="43" spans="2:5" x14ac:dyDescent="0.25">
      <c r="B43" s="1">
        <v>29</v>
      </c>
      <c r="C43" s="1" t="s">
        <v>129</v>
      </c>
      <c r="D43" s="1" t="s">
        <v>130</v>
      </c>
      <c r="E43" s="1">
        <v>1012412013</v>
      </c>
    </row>
    <row r="44" spans="2:5" x14ac:dyDescent="0.25">
      <c r="B44" s="1">
        <v>84</v>
      </c>
      <c r="C44" s="1" t="s">
        <v>183</v>
      </c>
      <c r="D44" s="1" t="s">
        <v>184</v>
      </c>
      <c r="E44" s="1">
        <v>1096168623</v>
      </c>
    </row>
    <row r="45" spans="2:5" x14ac:dyDescent="0.25">
      <c r="B45" s="1">
        <v>30</v>
      </c>
      <c r="C45" s="1" t="s">
        <v>131</v>
      </c>
      <c r="D45" s="1" t="s">
        <v>132</v>
      </c>
      <c r="E45" s="1">
        <v>1006957119</v>
      </c>
    </row>
    <row r="46" spans="2:5" x14ac:dyDescent="0.25">
      <c r="B46" s="1">
        <v>40</v>
      </c>
      <c r="C46" s="1" t="s">
        <v>141</v>
      </c>
      <c r="D46" s="1" t="s">
        <v>142</v>
      </c>
      <c r="E46" s="1">
        <v>1010678504</v>
      </c>
    </row>
    <row r="47" spans="2:5" x14ac:dyDescent="0.25">
      <c r="C47" s="103" t="s">
        <v>292</v>
      </c>
      <c r="D47" s="103" t="s">
        <v>288</v>
      </c>
      <c r="E47" s="103">
        <v>2898427327</v>
      </c>
    </row>
    <row r="48" spans="2:5" x14ac:dyDescent="0.25">
      <c r="B48" s="1">
        <v>31</v>
      </c>
      <c r="C48" s="1" t="s">
        <v>133</v>
      </c>
      <c r="D48" s="1" t="s">
        <v>134</v>
      </c>
      <c r="E48" s="1">
        <v>1006957100</v>
      </c>
    </row>
    <row r="49" spans="2:5" x14ac:dyDescent="0.25">
      <c r="B49" s="1">
        <v>68</v>
      </c>
      <c r="C49" s="1" t="s">
        <v>173</v>
      </c>
      <c r="D49" s="1" t="s">
        <v>174</v>
      </c>
      <c r="E49" s="1">
        <v>1057448467</v>
      </c>
    </row>
    <row r="50" spans="2:5" x14ac:dyDescent="0.25">
      <c r="B50" s="1">
        <v>87</v>
      </c>
      <c r="C50" s="1" t="s">
        <v>185</v>
      </c>
      <c r="D50" s="1" t="s">
        <v>186</v>
      </c>
      <c r="E50" s="1">
        <v>1096780124</v>
      </c>
    </row>
    <row r="51" spans="2:5" x14ac:dyDescent="0.25">
      <c r="B51" s="1">
        <v>88</v>
      </c>
      <c r="C51" s="1" t="s">
        <v>187</v>
      </c>
      <c r="D51" s="1" t="s">
        <v>188</v>
      </c>
      <c r="E51" s="1">
        <v>1096168658</v>
      </c>
    </row>
    <row r="52" spans="2:5" x14ac:dyDescent="0.25">
      <c r="C52" s="103" t="s">
        <v>285</v>
      </c>
      <c r="D52" s="103" t="s">
        <v>286</v>
      </c>
      <c r="E52" s="103">
        <v>2896300737</v>
      </c>
    </row>
    <row r="53" spans="2:5" x14ac:dyDescent="0.25">
      <c r="B53" s="1">
        <v>48</v>
      </c>
      <c r="C53" s="1" t="s">
        <v>157</v>
      </c>
      <c r="D53" s="1" t="s">
        <v>158</v>
      </c>
      <c r="E53" s="1">
        <v>1014327862</v>
      </c>
    </row>
    <row r="54" spans="2:5" x14ac:dyDescent="0.25">
      <c r="B54" s="1">
        <v>42</v>
      </c>
      <c r="C54" s="1" t="s">
        <v>145</v>
      </c>
      <c r="D54" s="1" t="s">
        <v>146</v>
      </c>
      <c r="E54" s="1">
        <v>1012195470</v>
      </c>
    </row>
    <row r="55" spans="2:5" x14ac:dyDescent="0.25">
      <c r="B55" s="1">
        <v>53</v>
      </c>
      <c r="C55" s="1" t="s">
        <v>159</v>
      </c>
      <c r="D55" s="1" t="s">
        <v>160</v>
      </c>
      <c r="E55" s="1">
        <v>1027418330</v>
      </c>
    </row>
    <row r="56" spans="2:5" x14ac:dyDescent="0.25">
      <c r="B56" s="1">
        <v>572</v>
      </c>
      <c r="C56" s="1" t="s">
        <v>194</v>
      </c>
      <c r="D56" s="1" t="s">
        <v>195</v>
      </c>
      <c r="E56" s="1">
        <v>1067221244</v>
      </c>
    </row>
    <row r="57" spans="2:5" x14ac:dyDescent="0.25">
      <c r="C57" s="103" t="s">
        <v>293</v>
      </c>
      <c r="D57" s="103" t="s">
        <v>289</v>
      </c>
      <c r="E57" s="103">
        <v>2897203069</v>
      </c>
    </row>
    <row r="58" spans="2:5" x14ac:dyDescent="0.25">
      <c r="B58" s="1">
        <v>89</v>
      </c>
      <c r="C58" s="1" t="s">
        <v>189</v>
      </c>
      <c r="D58" s="1" t="s">
        <v>190</v>
      </c>
      <c r="E58" s="1">
        <v>2898296923</v>
      </c>
    </row>
    <row r="59" spans="2:5" x14ac:dyDescent="0.25">
      <c r="B59" s="1">
        <v>32</v>
      </c>
      <c r="C59" s="1" t="s">
        <v>135</v>
      </c>
      <c r="D59" s="1" t="s">
        <v>136</v>
      </c>
      <c r="E59" s="1">
        <v>1006957097</v>
      </c>
    </row>
    <row r="60" spans="2:5" x14ac:dyDescent="0.25">
      <c r="B60" s="1" t="s">
        <v>191</v>
      </c>
      <c r="C60" s="1" t="s">
        <v>192</v>
      </c>
      <c r="D60" s="1" t="s">
        <v>193</v>
      </c>
      <c r="E60" s="1">
        <v>1067221252</v>
      </c>
    </row>
    <row r="61" spans="2:5" x14ac:dyDescent="0.25">
      <c r="B61" s="1">
        <v>43</v>
      </c>
      <c r="C61" s="1" t="s">
        <v>147</v>
      </c>
      <c r="D61" s="1" t="s">
        <v>148</v>
      </c>
      <c r="E61" s="1">
        <v>1012369401</v>
      </c>
    </row>
    <row r="62" spans="2:5" x14ac:dyDescent="0.25">
      <c r="B62" s="1">
        <v>59</v>
      </c>
      <c r="C62" s="1" t="s">
        <v>161</v>
      </c>
      <c r="D62" s="1" t="s">
        <v>162</v>
      </c>
      <c r="E62" s="1">
        <v>1045331691</v>
      </c>
    </row>
  </sheetData>
  <sortState xmlns:xlrd2="http://schemas.microsoft.com/office/spreadsheetml/2017/richdata2" ref="B3:E62">
    <sortCondition ref="C3:C62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1"/>
  <dimension ref="A2:Y57"/>
  <sheetViews>
    <sheetView zoomScale="70" zoomScaleNormal="70" workbookViewId="0"/>
  </sheetViews>
  <sheetFormatPr defaultColWidth="9.140625" defaultRowHeight="15" x14ac:dyDescent="0.25"/>
  <cols>
    <col min="1" max="1" width="16.7109375" style="1" bestFit="1" customWidth="1"/>
    <col min="2" max="2" width="38.42578125" style="1" customWidth="1"/>
    <col min="3" max="3" width="19.42578125" style="1" bestFit="1" customWidth="1"/>
    <col min="4" max="4" width="17.85546875" style="1" customWidth="1"/>
    <col min="5" max="5" width="22.140625" style="1" bestFit="1" customWidth="1"/>
    <col min="6" max="6" width="30.140625" style="1" customWidth="1"/>
    <col min="7" max="7" width="10.85546875" style="1" customWidth="1"/>
    <col min="8" max="8" width="15" style="1" customWidth="1"/>
    <col min="9" max="9" width="14.42578125" style="1" bestFit="1" customWidth="1"/>
    <col min="10" max="10" width="20.7109375" style="1" bestFit="1" customWidth="1"/>
    <col min="11" max="11" width="28.7109375" style="1" customWidth="1"/>
    <col min="12" max="12" width="39.85546875" style="1" bestFit="1" customWidth="1"/>
    <col min="13" max="13" width="23.85546875" style="1" bestFit="1" customWidth="1"/>
    <col min="14" max="14" width="34.5703125" style="1" customWidth="1"/>
    <col min="15" max="15" width="63.5703125" style="1" bestFit="1" customWidth="1"/>
    <col min="16" max="16" width="38.7109375" style="1" bestFit="1" customWidth="1"/>
    <col min="17" max="17" width="16.42578125" style="1" bestFit="1" customWidth="1"/>
    <col min="18" max="18" width="22" style="1" bestFit="1" customWidth="1"/>
    <col min="19" max="19" width="19.140625" style="1" bestFit="1" customWidth="1"/>
    <col min="20" max="20" width="14.42578125" style="1" bestFit="1" customWidth="1"/>
    <col min="21" max="21" width="20.7109375" style="1" bestFit="1" customWidth="1"/>
    <col min="22" max="22" width="24" style="1" bestFit="1" customWidth="1"/>
    <col min="23" max="23" width="28.28515625" style="1" bestFit="1" customWidth="1"/>
    <col min="24" max="24" width="36" style="1" bestFit="1" customWidth="1"/>
    <col min="25" max="25" width="12.85546875" style="1" bestFit="1" customWidth="1"/>
    <col min="26" max="26" width="18.42578125" style="1" bestFit="1" customWidth="1"/>
    <col min="27" max="27" width="9.28515625" style="1" bestFit="1" customWidth="1"/>
    <col min="28" max="28" width="13.42578125" style="1" bestFit="1" customWidth="1"/>
    <col min="29" max="29" width="18.140625" style="1" bestFit="1" customWidth="1"/>
    <col min="30" max="30" width="16" style="1" bestFit="1" customWidth="1"/>
    <col min="31" max="31" width="11.28515625" style="1" bestFit="1" customWidth="1"/>
    <col min="32" max="32" width="17.28515625" style="1" bestFit="1" customWidth="1"/>
    <col min="33" max="33" width="19.140625" style="1" bestFit="1" customWidth="1"/>
    <col min="34" max="34" width="23.85546875" style="1" bestFit="1" customWidth="1"/>
    <col min="35" max="35" width="7.42578125" style="1" bestFit="1" customWidth="1"/>
    <col min="36" max="36" width="10.28515625" style="1" bestFit="1" customWidth="1"/>
    <col min="37" max="16384" width="9.140625" style="1"/>
  </cols>
  <sheetData>
    <row r="2" spans="1:25" x14ac:dyDescent="0.25">
      <c r="F2" s="1" t="str">
        <f>IFERROR(IF(E4="","",VLOOKUP(E4,LOJAS!C:E,3,0)),"")</f>
        <v/>
      </c>
    </row>
    <row r="3" spans="1:25" x14ac:dyDescent="0.25">
      <c r="B3" s="3" t="s">
        <v>4</v>
      </c>
      <c r="C3" s="3" t="s">
        <v>0</v>
      </c>
      <c r="D3" s="3" t="s">
        <v>1</v>
      </c>
      <c r="E3" s="3" t="s">
        <v>2</v>
      </c>
      <c r="F3" s="3" t="s">
        <v>3</v>
      </c>
      <c r="K3" s="3" t="s">
        <v>198</v>
      </c>
      <c r="L3" s="3" t="s">
        <v>199</v>
      </c>
      <c r="N3" s="81" t="s">
        <v>249</v>
      </c>
      <c r="O3" s="81" t="s">
        <v>250</v>
      </c>
      <c r="P3" s="81" t="s">
        <v>251</v>
      </c>
    </row>
    <row r="4" spans="1:25" x14ac:dyDescent="0.25">
      <c r="A4" s="2"/>
      <c r="B4" s="6"/>
      <c r="C4" s="4"/>
      <c r="D4" s="4"/>
      <c r="E4" s="4"/>
      <c r="F4" s="4"/>
      <c r="K4" s="4"/>
      <c r="L4" s="4"/>
      <c r="N4" s="80" t="str">
        <f>IF(IF(AND(M8&lt;&gt;"",G17&lt;&gt;"",M8=G17),"OK",IF(AND(N8&lt;&gt;"",G17&lt;&gt;"",N8=G17),"OK",IF(AND(M8&lt;&gt;"",F15&lt;&gt;"",M8=F15),"OK",IF(AND(N8&lt;&gt;"",F15&lt;&gt;"",N8=F15),"OK","DIF"))))=FALSE,"",IF(AND(M8&lt;&gt;"",G17&lt;&gt;"",M8=G17),"OK",IF(AND(N8&lt;&gt;"",G17&lt;&gt;"",N8=G17),"OK",IF(AND(M8&lt;&gt;"",F15&lt;&gt;"",M8=F15),"OK",IF(AND(N8&lt;&gt;"",F15&lt;&gt;"",N8=F15),"OK","DIF")))))</f>
        <v>DIF</v>
      </c>
      <c r="O4" s="80" t="str">
        <f>IF(IF(AND(G17&lt;&gt;"",B27&lt;&gt;""),IF(B27&gt;E9,"DIF","OK"),IF(AND(L13&lt;&gt;"",B27&lt;&gt;""),IF(B27&gt;E9,"DIF","OK")))=FALSE,"",IF(AND(G17&lt;&gt;"",B27&lt;&gt;""),IF(B27&gt;E9,"DIF","OK"),IF(AND(L13&lt;&gt;"",B27&lt;&gt;""),IF(B27&gt;E9,"DIF","OK"))))</f>
        <v/>
      </c>
      <c r="P4" s="80">
        <f>COUNTBLANK(B4:E4)+COUNTBLANK(F2)+COUNTBLANK(K4:L4)+COUNTBLANK(B8)+COUNTBLANK(E8)+COUNTBLANK(B27)</f>
        <v>10</v>
      </c>
    </row>
    <row r="6" spans="1:25" x14ac:dyDescent="0.25">
      <c r="B6" s="1">
        <v>1</v>
      </c>
      <c r="C6" s="1">
        <v>2</v>
      </c>
      <c r="D6" s="1">
        <v>3</v>
      </c>
      <c r="E6" s="1">
        <v>4</v>
      </c>
      <c r="F6" s="1">
        <v>5</v>
      </c>
      <c r="G6" s="1">
        <v>6</v>
      </c>
      <c r="H6" s="1">
        <v>7</v>
      </c>
      <c r="I6" s="1">
        <v>8</v>
      </c>
      <c r="J6" s="1">
        <v>9</v>
      </c>
      <c r="K6" s="1">
        <v>10</v>
      </c>
      <c r="L6" s="1">
        <v>11</v>
      </c>
      <c r="M6" s="1">
        <v>12</v>
      </c>
      <c r="N6" s="1">
        <v>13</v>
      </c>
      <c r="O6" s="1">
        <v>14</v>
      </c>
      <c r="P6" s="1">
        <v>15</v>
      </c>
    </row>
    <row r="7" spans="1:25" x14ac:dyDescent="0.25">
      <c r="B7" s="3" t="s">
        <v>19</v>
      </c>
      <c r="C7" s="3" t="s">
        <v>5</v>
      </c>
      <c r="D7" s="3" t="s">
        <v>6</v>
      </c>
      <c r="E7" s="3" t="s">
        <v>7</v>
      </c>
      <c r="F7" s="3" t="s">
        <v>8</v>
      </c>
      <c r="G7" s="3" t="s">
        <v>9</v>
      </c>
      <c r="H7" s="3" t="s">
        <v>10</v>
      </c>
      <c r="I7" s="3" t="s">
        <v>11</v>
      </c>
      <c r="J7" s="3" t="s">
        <v>12</v>
      </c>
      <c r="K7" s="3" t="s">
        <v>13</v>
      </c>
      <c r="L7" s="3" t="s">
        <v>14</v>
      </c>
      <c r="M7" s="3" t="s">
        <v>15</v>
      </c>
      <c r="N7" s="3" t="s">
        <v>16</v>
      </c>
      <c r="O7" s="3" t="s">
        <v>17</v>
      </c>
      <c r="P7" s="3" t="s">
        <v>18</v>
      </c>
    </row>
    <row r="8" spans="1:25" x14ac:dyDescent="0.25">
      <c r="B8" s="5"/>
      <c r="C8" s="6"/>
      <c r="D8" s="5"/>
      <c r="E8" s="5"/>
      <c r="F8" s="5"/>
      <c r="G8" s="5"/>
      <c r="H8" s="5"/>
      <c r="I8" s="5"/>
      <c r="J8" s="5"/>
      <c r="K8" s="5"/>
      <c r="L8" s="5"/>
      <c r="M8" s="102"/>
      <c r="N8" s="102"/>
      <c r="O8" s="4"/>
      <c r="P8" s="5"/>
    </row>
    <row r="9" spans="1:25" x14ac:dyDescent="0.25">
      <c r="C9" s="55"/>
      <c r="E9" s="56">
        <f>VALUE(E8)</f>
        <v>0</v>
      </c>
      <c r="J9" s="56">
        <f>VALUE(J8)</f>
        <v>0</v>
      </c>
    </row>
    <row r="12" spans="1:25" x14ac:dyDescent="0.25">
      <c r="B12" s="7" t="s">
        <v>20</v>
      </c>
    </row>
    <row r="13" spans="1:25" x14ac:dyDescent="0.25">
      <c r="B13" s="7" t="s">
        <v>21</v>
      </c>
      <c r="L13" s="1">
        <f>VALUE(L15)</f>
        <v>0</v>
      </c>
    </row>
    <row r="14" spans="1:25" x14ac:dyDescent="0.25">
      <c r="A14" s="9" t="s">
        <v>70</v>
      </c>
      <c r="B14" s="3" t="s">
        <v>22</v>
      </c>
      <c r="C14" s="3" t="s">
        <v>23</v>
      </c>
      <c r="D14" s="3" t="s">
        <v>24</v>
      </c>
      <c r="E14" s="3" t="s">
        <v>25</v>
      </c>
      <c r="F14" s="3" t="s">
        <v>17</v>
      </c>
      <c r="G14" s="3" t="s">
        <v>26</v>
      </c>
      <c r="H14" s="3" t="s">
        <v>27</v>
      </c>
      <c r="I14" s="3" t="s">
        <v>28</v>
      </c>
      <c r="J14" s="3" t="s">
        <v>29</v>
      </c>
      <c r="K14" s="3" t="s">
        <v>30</v>
      </c>
      <c r="L14" s="3" t="s">
        <v>31</v>
      </c>
      <c r="M14" s="3" t="s">
        <v>32</v>
      </c>
      <c r="N14" s="3" t="s">
        <v>33</v>
      </c>
      <c r="O14" s="3" t="s">
        <v>34</v>
      </c>
      <c r="P14" s="3" t="s">
        <v>35</v>
      </c>
      <c r="Q14" s="3" t="s">
        <v>36</v>
      </c>
      <c r="R14" s="3" t="s">
        <v>37</v>
      </c>
      <c r="S14" s="3" t="s">
        <v>38</v>
      </c>
      <c r="T14" s="3" t="s">
        <v>39</v>
      </c>
      <c r="U14" s="3" t="s">
        <v>40</v>
      </c>
      <c r="V14" s="3" t="s">
        <v>41</v>
      </c>
      <c r="W14" s="3" t="s">
        <v>42</v>
      </c>
      <c r="X14" s="3" t="s">
        <v>43</v>
      </c>
      <c r="Y14" s="3" t="s">
        <v>44</v>
      </c>
    </row>
    <row r="15" spans="1:25" x14ac:dyDescent="0.25">
      <c r="B15" s="5"/>
      <c r="C15" s="6"/>
      <c r="D15" s="83"/>
      <c r="E15" s="5"/>
      <c r="F15" s="101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6"/>
      <c r="S15" s="5"/>
      <c r="T15" s="6"/>
      <c r="U15" s="83"/>
      <c r="V15" s="5"/>
      <c r="W15" s="5"/>
      <c r="X15" s="5"/>
      <c r="Y15" s="5"/>
    </row>
    <row r="16" spans="1:25" x14ac:dyDescent="0.25">
      <c r="A16" s="9" t="s">
        <v>69</v>
      </c>
      <c r="B16" s="3" t="s">
        <v>45</v>
      </c>
      <c r="C16" s="3" t="s">
        <v>46</v>
      </c>
      <c r="D16" s="3" t="s">
        <v>47</v>
      </c>
      <c r="E16" s="3" t="s">
        <v>48</v>
      </c>
      <c r="F16" s="3" t="s">
        <v>49</v>
      </c>
      <c r="G16" s="3" t="s">
        <v>50</v>
      </c>
      <c r="H16" s="3" t="s">
        <v>51</v>
      </c>
      <c r="I16" s="3" t="s">
        <v>52</v>
      </c>
      <c r="J16" s="3" t="s">
        <v>53</v>
      </c>
      <c r="K16" s="3" t="s">
        <v>54</v>
      </c>
      <c r="L16" s="3" t="s">
        <v>55</v>
      </c>
      <c r="M16" s="3" t="s">
        <v>56</v>
      </c>
      <c r="N16" s="3" t="s">
        <v>57</v>
      </c>
      <c r="O16" s="3" t="s">
        <v>58</v>
      </c>
      <c r="P16" s="3" t="s">
        <v>59</v>
      </c>
      <c r="Q16" s="3" t="s">
        <v>60</v>
      </c>
      <c r="R16" s="3" t="s">
        <v>61</v>
      </c>
      <c r="S16" s="3" t="s">
        <v>62</v>
      </c>
      <c r="T16" s="3" t="s">
        <v>63</v>
      </c>
      <c r="U16" s="3" t="s">
        <v>64</v>
      </c>
      <c r="V16" s="3" t="s">
        <v>65</v>
      </c>
      <c r="W16" s="3" t="s">
        <v>66</v>
      </c>
      <c r="X16" s="3" t="s">
        <v>67</v>
      </c>
      <c r="Y16" s="3" t="s">
        <v>68</v>
      </c>
    </row>
    <row r="17" spans="1:25" x14ac:dyDescent="0.25">
      <c r="B17" s="13"/>
      <c r="C17" s="6"/>
      <c r="D17" s="5"/>
      <c r="E17" s="5"/>
      <c r="F17" s="5"/>
      <c r="G17" s="101"/>
      <c r="H17" s="5"/>
      <c r="I17" s="5"/>
      <c r="J17" s="5"/>
      <c r="K17" s="5"/>
      <c r="L17" s="5"/>
      <c r="M17" s="5"/>
      <c r="N17" s="5"/>
      <c r="O17" s="4"/>
      <c r="P17" s="5"/>
      <c r="Q17" s="5"/>
      <c r="R17" s="5"/>
      <c r="S17" s="5"/>
      <c r="T17" s="5"/>
      <c r="U17" s="5"/>
      <c r="V17" s="5"/>
      <c r="W17" s="5"/>
      <c r="X17" s="5"/>
      <c r="Y17" s="5"/>
    </row>
    <row r="19" spans="1:25" x14ac:dyDescent="0.25">
      <c r="B19" s="98" t="s">
        <v>72</v>
      </c>
      <c r="C19" s="98" t="s">
        <v>73</v>
      </c>
      <c r="D19" s="98" t="s">
        <v>74</v>
      </c>
      <c r="E19" s="98" t="s">
        <v>75</v>
      </c>
      <c r="F19" s="98" t="s">
        <v>76</v>
      </c>
      <c r="G19" s="98" t="s">
        <v>77</v>
      </c>
      <c r="H19" s="98" t="s">
        <v>78</v>
      </c>
      <c r="I19" s="98" t="s">
        <v>79</v>
      </c>
      <c r="J19" s="98" t="s">
        <v>80</v>
      </c>
      <c r="K19" s="99" t="s">
        <v>83</v>
      </c>
      <c r="L19" s="100"/>
      <c r="M19" s="100"/>
    </row>
    <row r="20" spans="1:25" x14ac:dyDescent="0.25">
      <c r="B20" s="10" t="str">
        <f>IFERROR(IF(O17&lt;&gt;"",MID(VALUE(O17),1,10),VLOOKUP(B15,LOJAS!B:E,4,0)),"")</f>
        <v/>
      </c>
      <c r="C20" s="10" t="str">
        <f>IFERROR(IF(B17&lt;&gt;"","4"&amp;RIGHT(YEAR(D20),2)&amp;IF(MONTH(D20)&lt;10,0&amp;MONTH(D20),D20)&amp;IF(DAY(D20)&lt;10,0&amp;DAY(D20),DAY(D20)),IF(C15="","","4"&amp;RIGHT(C15,6))),"")</f>
        <v/>
      </c>
      <c r="D20" s="11" t="str">
        <f>IFERROR(IF(B17&lt;&gt;"", DATE(YEAR(B17),MONTH(B17),DAY(B17)), DATE(YEAR(F20),MONTH(F20),DAY(F20))),"")</f>
        <v/>
      </c>
      <c r="E20" s="10" t="str">
        <f>IFERROR(IF(E17&lt;&gt;"",E17,IF(K15="","",K15)),"")</f>
        <v/>
      </c>
      <c r="F20" s="11" t="str">
        <f>IFERROR(IF(B17&lt;&gt;"",DATE(YEAR(B17),MONTH(B17),DAY(B17)),IF(C15="","",IF(LEN(VALUE(RIGHT(C15,2)))&lt;2,"0"&amp;VALUE(RIGHT(C15,2)),VALUE(RIGHT(C15,2)))&amp;"/"&amp;IF(LEN(VALUE(MID(C15,5,2)))&lt;2,"0"&amp;VALUE(MID(C15,5,2)),VALUE(MID(C15,5,2)))&amp;"/"&amp;IF(LEN(VALUE(MID(C15,1,4)))&lt;2,"0"&amp;VALUE(MID(C15,1,4)),VALUE(MID(C15,1,4))))),"")</f>
        <v/>
      </c>
      <c r="G20" s="12" t="str">
        <f>IFERROR(IF(J17&lt;&gt;"",VALUE(J17),IF(L15="","",VALUE(MID(L15,1,SUM(LEN(L15)))&amp;","&amp;RIGHT(L15,2)))),"")</f>
        <v/>
      </c>
      <c r="H20" s="12" t="str">
        <f>IF(B27="","",IFERROR(B27,""))</f>
        <v/>
      </c>
      <c r="I20" s="10" t="str">
        <f>IFERROR(IF(N17&lt;&gt;"",N17,IF(P15="","",P15)),"")</f>
        <v/>
      </c>
      <c r="J20" s="10" t="s">
        <v>81</v>
      </c>
    </row>
    <row r="22" spans="1:25" x14ac:dyDescent="0.25">
      <c r="P22" s="1" t="s">
        <v>45</v>
      </c>
    </row>
    <row r="23" spans="1:25" x14ac:dyDescent="0.25">
      <c r="B23" s="3" t="s">
        <v>72</v>
      </c>
      <c r="C23" s="3" t="s">
        <v>73</v>
      </c>
      <c r="D23" s="3" t="s">
        <v>74</v>
      </c>
      <c r="E23" s="3" t="s">
        <v>75</v>
      </c>
      <c r="F23" s="3" t="s">
        <v>76</v>
      </c>
      <c r="G23" s="3" t="s">
        <v>77</v>
      </c>
      <c r="H23" s="3" t="s">
        <v>78</v>
      </c>
      <c r="I23" s="3" t="s">
        <v>79</v>
      </c>
      <c r="J23" s="3" t="s">
        <v>80</v>
      </c>
      <c r="K23" s="7" t="s">
        <v>82</v>
      </c>
      <c r="P23" s="1" t="s">
        <v>46</v>
      </c>
    </row>
    <row r="24" spans="1:25" x14ac:dyDescent="0.25">
      <c r="B24" s="5"/>
      <c r="C24" s="5"/>
      <c r="D24" s="5"/>
      <c r="E24" s="5"/>
      <c r="F24" s="5"/>
      <c r="G24" s="5"/>
      <c r="H24" s="5"/>
      <c r="I24" s="5"/>
      <c r="J24" s="5" t="s">
        <v>81</v>
      </c>
      <c r="P24" s="1" t="s">
        <v>47</v>
      </c>
    </row>
    <row r="25" spans="1:25" x14ac:dyDescent="0.25">
      <c r="P25" s="1" t="s">
        <v>48</v>
      </c>
    </row>
    <row r="26" spans="1:25" x14ac:dyDescent="0.25">
      <c r="B26" s="8" t="s">
        <v>71</v>
      </c>
      <c r="P26" s="1" t="s">
        <v>49</v>
      </c>
    </row>
    <row r="27" spans="1:25" x14ac:dyDescent="0.25">
      <c r="B27" s="79"/>
      <c r="P27" s="1" t="s">
        <v>50</v>
      </c>
    </row>
    <row r="28" spans="1:25" x14ac:dyDescent="0.25">
      <c r="P28" s="1" t="s">
        <v>51</v>
      </c>
    </row>
    <row r="29" spans="1:25" x14ac:dyDescent="0.25">
      <c r="A29" s="9" t="s">
        <v>200</v>
      </c>
      <c r="B29" s="5"/>
      <c r="P29" s="1" t="s">
        <v>52</v>
      </c>
    </row>
    <row r="30" spans="1:25" x14ac:dyDescent="0.25">
      <c r="P30" s="1" t="s">
        <v>53</v>
      </c>
    </row>
    <row r="31" spans="1:25" x14ac:dyDescent="0.25">
      <c r="P31" s="1" t="s">
        <v>54</v>
      </c>
    </row>
    <row r="32" spans="1:25" x14ac:dyDescent="0.25">
      <c r="P32" s="1" t="s">
        <v>55</v>
      </c>
    </row>
    <row r="33" spans="16:16" x14ac:dyDescent="0.25">
      <c r="P33" s="1" t="s">
        <v>56</v>
      </c>
    </row>
    <row r="34" spans="16:16" x14ac:dyDescent="0.25">
      <c r="P34" s="1" t="s">
        <v>57</v>
      </c>
    </row>
    <row r="35" spans="16:16" x14ac:dyDescent="0.25">
      <c r="P35" s="1" t="s">
        <v>58</v>
      </c>
    </row>
    <row r="36" spans="16:16" x14ac:dyDescent="0.25">
      <c r="P36" s="1" t="s">
        <v>296</v>
      </c>
    </row>
    <row r="37" spans="16:16" x14ac:dyDescent="0.25">
      <c r="P37" s="1" t="s">
        <v>297</v>
      </c>
    </row>
    <row r="38" spans="16:16" x14ac:dyDescent="0.25">
      <c r="P38" s="1" t="s">
        <v>298</v>
      </c>
    </row>
    <row r="39" spans="16:16" x14ac:dyDescent="0.25">
      <c r="P39" s="1" t="s">
        <v>59</v>
      </c>
    </row>
    <row r="40" spans="16:16" x14ac:dyDescent="0.25">
      <c r="P40" s="1" t="s">
        <v>299</v>
      </c>
    </row>
    <row r="41" spans="16:16" x14ac:dyDescent="0.25">
      <c r="P41" s="1" t="s">
        <v>60</v>
      </c>
    </row>
    <row r="42" spans="16:16" x14ac:dyDescent="0.25">
      <c r="P42" s="1" t="s">
        <v>300</v>
      </c>
    </row>
    <row r="43" spans="16:16" x14ac:dyDescent="0.25">
      <c r="P43" s="1" t="s">
        <v>301</v>
      </c>
    </row>
    <row r="44" spans="16:16" x14ac:dyDescent="0.25">
      <c r="P44" s="1" t="s">
        <v>302</v>
      </c>
    </row>
    <row r="45" spans="16:16" x14ac:dyDescent="0.25">
      <c r="P45" s="1" t="s">
        <v>303</v>
      </c>
    </row>
    <row r="46" spans="16:16" x14ac:dyDescent="0.25">
      <c r="P46" s="1" t="s">
        <v>61</v>
      </c>
    </row>
    <row r="47" spans="16:16" x14ac:dyDescent="0.25">
      <c r="P47" s="1" t="s">
        <v>304</v>
      </c>
    </row>
    <row r="48" spans="16:16" x14ac:dyDescent="0.25">
      <c r="P48" s="1" t="s">
        <v>305</v>
      </c>
    </row>
    <row r="49" spans="16:16" x14ac:dyDescent="0.25">
      <c r="P49" s="1" t="s">
        <v>306</v>
      </c>
    </row>
    <row r="50" spans="16:16" x14ac:dyDescent="0.25">
      <c r="P50" s="1" t="s">
        <v>307</v>
      </c>
    </row>
    <row r="51" spans="16:16" x14ac:dyDescent="0.25">
      <c r="P51" s="1" t="s">
        <v>308</v>
      </c>
    </row>
    <row r="52" spans="16:16" x14ac:dyDescent="0.25">
      <c r="P52" s="1" t="s">
        <v>309</v>
      </c>
    </row>
    <row r="53" spans="16:16" x14ac:dyDescent="0.25">
      <c r="P53" s="1" t="s">
        <v>62</v>
      </c>
    </row>
    <row r="54" spans="16:16" x14ac:dyDescent="0.25">
      <c r="P54" s="1" t="s">
        <v>63</v>
      </c>
    </row>
    <row r="55" spans="16:16" x14ac:dyDescent="0.25">
      <c r="P55" s="1" t="s">
        <v>64</v>
      </c>
    </row>
    <row r="56" spans="16:16" x14ac:dyDescent="0.25">
      <c r="P56" s="1" t="s">
        <v>65</v>
      </c>
    </row>
    <row r="57" spans="16:16" x14ac:dyDescent="0.25">
      <c r="P57" s="1" t="s">
        <v>66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CAPA</vt:lpstr>
      <vt:lpstr>INTRUÇÕES</vt:lpstr>
      <vt:lpstr>Dados DR</vt:lpstr>
      <vt:lpstr>Simulador</vt:lpstr>
      <vt:lpstr>LOJAS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Gino Baratieri</dc:creator>
  <cp:lastModifiedBy>Arthur Rodrigues Dahmer Santos</cp:lastModifiedBy>
  <dcterms:created xsi:type="dcterms:W3CDTF">2025-10-15T13:51:17Z</dcterms:created>
  <dcterms:modified xsi:type="dcterms:W3CDTF">2025-11-28T11:37:47Z</dcterms:modified>
</cp:coreProperties>
</file>